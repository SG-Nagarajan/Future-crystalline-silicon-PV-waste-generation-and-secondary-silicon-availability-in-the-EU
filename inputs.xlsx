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Nagarajan\SolarEnergyMaterialPaperCode\"/>
    </mc:Choice>
  </mc:AlternateContent>
  <xr:revisionPtr revIDLastSave="0" documentId="13_ncr:1_{C08CA2FD-6E45-4672-94B0-0C2345B92ECD}" xr6:coauthVersionLast="47" xr6:coauthVersionMax="47" xr10:uidLastSave="{00000000-0000-0000-0000-000000000000}"/>
  <bookViews>
    <workbookView xWindow="3720" yWindow="2775" windowWidth="21600" windowHeight="12585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2" l="1"/>
  <c r="A863" i="2"/>
  <c r="A862" i="2"/>
  <c r="A861" i="2"/>
  <c r="A860" i="2"/>
  <c r="A859" i="2"/>
  <c r="A858" i="2"/>
  <c r="A857" i="2"/>
  <c r="A856" i="2"/>
  <c r="A855" i="2"/>
  <c r="A854" i="2"/>
  <c r="A853" i="2"/>
  <c r="A852" i="2"/>
  <c r="A851" i="2"/>
  <c r="A850" i="2"/>
  <c r="A849" i="2"/>
  <c r="A848" i="2"/>
  <c r="A847" i="2"/>
  <c r="A846" i="2"/>
  <c r="A845" i="2"/>
  <c r="A844" i="2"/>
  <c r="A843" i="2"/>
  <c r="A842" i="2"/>
  <c r="A841" i="2"/>
  <c r="A840" i="2"/>
  <c r="A839" i="2"/>
  <c r="A838" i="2"/>
  <c r="A837" i="2"/>
  <c r="A836" i="2"/>
  <c r="A835" i="2"/>
  <c r="A834" i="2"/>
  <c r="A833" i="2"/>
  <c r="A832" i="2"/>
  <c r="A831" i="2"/>
  <c r="A830" i="2"/>
  <c r="A829" i="2"/>
  <c r="A828" i="2"/>
  <c r="A827" i="2"/>
  <c r="A826" i="2"/>
  <c r="A825" i="2"/>
  <c r="A824" i="2"/>
  <c r="A823" i="2"/>
  <c r="A822" i="2"/>
  <c r="A821" i="2"/>
  <c r="A820" i="2"/>
  <c r="A819" i="2"/>
  <c r="A818" i="2"/>
  <c r="A817" i="2"/>
  <c r="A816" i="2"/>
  <c r="A815" i="2"/>
  <c r="A814" i="2"/>
  <c r="A813" i="2"/>
  <c r="A812" i="2"/>
  <c r="A811" i="2"/>
  <c r="A810" i="2"/>
  <c r="A809" i="2"/>
  <c r="A808" i="2"/>
  <c r="A807" i="2"/>
  <c r="A806" i="2"/>
  <c r="A805" i="2"/>
  <c r="A804" i="2"/>
  <c r="A803" i="2"/>
  <c r="A802" i="2"/>
  <c r="A801" i="2"/>
  <c r="A800" i="2"/>
  <c r="A799" i="2"/>
  <c r="A798" i="2"/>
  <c r="A797" i="2"/>
  <c r="A796" i="2"/>
  <c r="A795" i="2"/>
  <c r="A794" i="2"/>
  <c r="A793" i="2"/>
  <c r="A792" i="2"/>
  <c r="A791" i="2"/>
  <c r="A790" i="2"/>
  <c r="A789" i="2"/>
  <c r="A788" i="2"/>
  <c r="A787" i="2"/>
  <c r="A786" i="2"/>
  <c r="A785" i="2"/>
  <c r="A784" i="2"/>
  <c r="A783" i="2"/>
  <c r="A782" i="2"/>
  <c r="A781" i="2"/>
  <c r="A780" i="2"/>
  <c r="A779" i="2"/>
  <c r="A778" i="2"/>
  <c r="A777" i="2"/>
  <c r="A776" i="2"/>
  <c r="A775" i="2"/>
  <c r="A774" i="2"/>
  <c r="A773" i="2"/>
  <c r="A772" i="2"/>
  <c r="A771" i="2"/>
  <c r="A770" i="2"/>
  <c r="A769" i="2"/>
  <c r="A768" i="2"/>
  <c r="A767" i="2"/>
  <c r="A766" i="2"/>
  <c r="A765" i="2"/>
  <c r="A764" i="2"/>
  <c r="A763" i="2"/>
  <c r="A762" i="2"/>
  <c r="A761" i="2"/>
  <c r="A760" i="2"/>
  <c r="A759" i="2"/>
  <c r="A758" i="2"/>
  <c r="A757" i="2"/>
  <c r="A756" i="2"/>
  <c r="A755" i="2"/>
  <c r="A754" i="2"/>
  <c r="A753" i="2"/>
  <c r="A752" i="2"/>
  <c r="A751" i="2"/>
  <c r="A750" i="2"/>
  <c r="A749" i="2"/>
  <c r="A748" i="2"/>
  <c r="A747" i="2"/>
  <c r="A746" i="2"/>
  <c r="A745" i="2"/>
  <c r="A744" i="2"/>
  <c r="A743" i="2"/>
  <c r="A742" i="2"/>
  <c r="A741" i="2"/>
  <c r="A740" i="2"/>
  <c r="A739" i="2"/>
  <c r="A738" i="2"/>
  <c r="A737" i="2"/>
  <c r="A736" i="2"/>
  <c r="A735" i="2"/>
  <c r="A734" i="2"/>
  <c r="A733" i="2"/>
  <c r="A732" i="2"/>
  <c r="A731" i="2"/>
  <c r="A730" i="2"/>
  <c r="A729" i="2"/>
  <c r="A728" i="2"/>
  <c r="A727" i="2"/>
  <c r="A726" i="2"/>
  <c r="A725" i="2"/>
  <c r="A724" i="2"/>
  <c r="A723" i="2"/>
  <c r="A722" i="2"/>
  <c r="A721" i="2"/>
  <c r="A720" i="2"/>
  <c r="A719" i="2"/>
  <c r="A718" i="2"/>
  <c r="A717" i="2"/>
  <c r="A716" i="2"/>
  <c r="A715" i="2"/>
  <c r="A714" i="2"/>
  <c r="A713" i="2"/>
  <c r="A712" i="2"/>
  <c r="A711" i="2"/>
  <c r="A710" i="2"/>
  <c r="A709" i="2"/>
  <c r="A708" i="2"/>
  <c r="A707" i="2"/>
  <c r="A706" i="2"/>
  <c r="A705" i="2"/>
  <c r="A704" i="2"/>
  <c r="A703" i="2"/>
  <c r="A702" i="2"/>
  <c r="A701" i="2"/>
  <c r="A700" i="2"/>
  <c r="A699" i="2"/>
  <c r="A698" i="2"/>
  <c r="A697" i="2"/>
  <c r="A696" i="2"/>
  <c r="A695" i="2"/>
  <c r="A694" i="2"/>
  <c r="A693" i="2"/>
  <c r="A692" i="2"/>
  <c r="A691" i="2"/>
  <c r="A690" i="2"/>
  <c r="A689" i="2"/>
  <c r="A688" i="2"/>
  <c r="A687" i="2"/>
  <c r="A686" i="2"/>
  <c r="A685" i="2"/>
  <c r="A684" i="2"/>
  <c r="A683" i="2"/>
  <c r="A682" i="2"/>
  <c r="A681" i="2"/>
  <c r="A680" i="2"/>
  <c r="A679" i="2"/>
  <c r="A678" i="2"/>
  <c r="A677" i="2"/>
  <c r="A676" i="2"/>
  <c r="A675" i="2"/>
  <c r="A674" i="2"/>
  <c r="A673" i="2"/>
  <c r="A672" i="2"/>
  <c r="A671" i="2"/>
  <c r="A670" i="2"/>
  <c r="A669" i="2"/>
  <c r="A668" i="2"/>
  <c r="A667" i="2"/>
  <c r="A666" i="2"/>
  <c r="A665" i="2"/>
  <c r="A664" i="2"/>
  <c r="A663" i="2"/>
  <c r="A662" i="2"/>
  <c r="A661" i="2"/>
  <c r="A660" i="2"/>
  <c r="A659" i="2"/>
  <c r="A658" i="2"/>
  <c r="A657" i="2"/>
  <c r="A656" i="2"/>
  <c r="A655" i="2"/>
  <c r="A654" i="2"/>
  <c r="A653" i="2"/>
  <c r="A652" i="2"/>
  <c r="A651" i="2"/>
  <c r="A650" i="2"/>
  <c r="A649" i="2"/>
  <c r="A648" i="2"/>
  <c r="A647" i="2"/>
  <c r="A646" i="2"/>
  <c r="A645" i="2"/>
  <c r="A644" i="2"/>
  <c r="A643" i="2"/>
  <c r="A642" i="2"/>
  <c r="A641" i="2"/>
  <c r="A640" i="2"/>
  <c r="A639" i="2"/>
  <c r="A638" i="2"/>
  <c r="A637" i="2"/>
  <c r="A636" i="2"/>
  <c r="A635" i="2"/>
  <c r="A634" i="2"/>
  <c r="A633" i="2"/>
  <c r="A632" i="2"/>
  <c r="A631" i="2"/>
  <c r="A630" i="2"/>
  <c r="A629" i="2"/>
  <c r="A628" i="2"/>
  <c r="A627" i="2"/>
  <c r="A626" i="2"/>
  <c r="A625" i="2"/>
  <c r="A624" i="2"/>
  <c r="A623" i="2"/>
  <c r="A622" i="2"/>
  <c r="A621" i="2"/>
  <c r="A620" i="2"/>
  <c r="A619" i="2"/>
  <c r="A618" i="2"/>
  <c r="A617" i="2"/>
  <c r="A616" i="2"/>
  <c r="A615" i="2"/>
  <c r="A614" i="2"/>
  <c r="A613" i="2"/>
  <c r="A612" i="2"/>
  <c r="A611" i="2"/>
  <c r="A610" i="2"/>
  <c r="A609" i="2"/>
  <c r="A608" i="2"/>
  <c r="A607" i="2"/>
  <c r="A606" i="2"/>
  <c r="A605" i="2"/>
  <c r="A604" i="2"/>
  <c r="A603" i="2"/>
  <c r="A602" i="2"/>
  <c r="A601" i="2"/>
  <c r="A600" i="2"/>
  <c r="A599" i="2"/>
  <c r="A598" i="2"/>
  <c r="A597" i="2"/>
  <c r="A596" i="2"/>
  <c r="A595" i="2"/>
  <c r="A594" i="2"/>
  <c r="A593" i="2"/>
  <c r="A592" i="2"/>
  <c r="A591" i="2"/>
  <c r="A590" i="2"/>
  <c r="A589" i="2"/>
  <c r="A588" i="2"/>
  <c r="A587" i="2"/>
  <c r="A586" i="2"/>
  <c r="A585" i="2"/>
  <c r="A584" i="2"/>
  <c r="A583" i="2"/>
  <c r="A582" i="2"/>
  <c r="A581" i="2"/>
  <c r="A580" i="2"/>
  <c r="A579" i="2"/>
  <c r="A578" i="2"/>
  <c r="A577" i="2"/>
  <c r="A576" i="2"/>
  <c r="A575" i="2"/>
  <c r="A574" i="2"/>
  <c r="A573" i="2"/>
  <c r="A572" i="2"/>
  <c r="A571" i="2"/>
  <c r="A570" i="2"/>
  <c r="A569" i="2"/>
  <c r="A568" i="2"/>
  <c r="A567" i="2"/>
  <c r="A566" i="2"/>
  <c r="A565" i="2"/>
  <c r="A564" i="2"/>
  <c r="A563" i="2"/>
  <c r="A562" i="2"/>
  <c r="A561" i="2"/>
  <c r="A560" i="2"/>
  <c r="A559" i="2"/>
  <c r="A558" i="2"/>
  <c r="A557" i="2"/>
  <c r="A556" i="2"/>
  <c r="A555" i="2"/>
  <c r="A554" i="2"/>
  <c r="A553" i="2"/>
  <c r="A552" i="2"/>
  <c r="A551" i="2"/>
  <c r="A550" i="2"/>
  <c r="A549" i="2"/>
  <c r="A548" i="2"/>
  <c r="A547" i="2"/>
  <c r="A546" i="2"/>
  <c r="A545" i="2"/>
  <c r="A544" i="2"/>
  <c r="A543" i="2"/>
  <c r="A542" i="2"/>
  <c r="A541" i="2"/>
  <c r="A540" i="2"/>
  <c r="A539" i="2"/>
  <c r="A538" i="2"/>
  <c r="A537" i="2"/>
  <c r="A536" i="2"/>
  <c r="A535" i="2"/>
  <c r="A534" i="2"/>
  <c r="A533" i="2"/>
  <c r="A532" i="2"/>
  <c r="A531" i="2"/>
  <c r="A530" i="2"/>
  <c r="A529" i="2"/>
  <c r="A528" i="2"/>
  <c r="A527" i="2"/>
  <c r="A526" i="2"/>
  <c r="A525" i="2"/>
  <c r="A524" i="2"/>
  <c r="A523" i="2"/>
  <c r="A522" i="2"/>
  <c r="A521" i="2"/>
  <c r="A520" i="2"/>
  <c r="A519" i="2"/>
  <c r="A518" i="2"/>
  <c r="A517" i="2"/>
  <c r="A516" i="2"/>
  <c r="A515" i="2"/>
  <c r="A514" i="2"/>
  <c r="A513" i="2"/>
  <c r="A512" i="2"/>
  <c r="A511" i="2"/>
  <c r="A510" i="2"/>
  <c r="A509" i="2"/>
  <c r="A508" i="2"/>
  <c r="A507" i="2"/>
  <c r="A506" i="2"/>
  <c r="A505" i="2"/>
  <c r="A504" i="2"/>
  <c r="A503" i="2"/>
  <c r="A502" i="2"/>
  <c r="A501" i="2"/>
  <c r="A500" i="2"/>
  <c r="A499" i="2"/>
  <c r="A498" i="2"/>
  <c r="A497" i="2"/>
  <c r="A496" i="2"/>
  <c r="A495" i="2"/>
  <c r="A494" i="2"/>
  <c r="A493" i="2"/>
  <c r="A492" i="2"/>
  <c r="A491" i="2"/>
  <c r="A490" i="2"/>
  <c r="A489" i="2"/>
  <c r="A488" i="2"/>
  <c r="A487" i="2"/>
  <c r="A486" i="2"/>
  <c r="A485" i="2"/>
  <c r="A484" i="2"/>
  <c r="A483" i="2"/>
  <c r="A482" i="2"/>
  <c r="A481" i="2"/>
  <c r="A480" i="2"/>
  <c r="A479" i="2"/>
  <c r="A478" i="2"/>
  <c r="A477" i="2"/>
  <c r="A476" i="2"/>
  <c r="A475" i="2"/>
  <c r="A474" i="2"/>
  <c r="A473" i="2"/>
  <c r="A472" i="2"/>
  <c r="A471" i="2"/>
  <c r="A470" i="2"/>
  <c r="A469" i="2"/>
  <c r="A468" i="2"/>
  <c r="A467" i="2"/>
  <c r="A466" i="2"/>
  <c r="A465" i="2"/>
  <c r="A464" i="2"/>
  <c r="A463" i="2"/>
  <c r="A462" i="2"/>
  <c r="A461" i="2"/>
  <c r="A460" i="2"/>
  <c r="A459" i="2"/>
  <c r="A458" i="2"/>
  <c r="A457" i="2"/>
  <c r="A456" i="2"/>
  <c r="A455" i="2"/>
  <c r="A454" i="2"/>
  <c r="A453" i="2"/>
  <c r="A452" i="2"/>
  <c r="A451" i="2"/>
  <c r="A450" i="2"/>
  <c r="A449" i="2"/>
  <c r="A448" i="2"/>
  <c r="A447" i="2"/>
  <c r="A446" i="2"/>
  <c r="A445" i="2"/>
  <c r="A444" i="2"/>
  <c r="A443" i="2"/>
  <c r="A442" i="2"/>
  <c r="A441" i="2"/>
  <c r="A440" i="2"/>
  <c r="A439" i="2"/>
  <c r="A438" i="2"/>
  <c r="A437" i="2"/>
  <c r="A436" i="2"/>
  <c r="A435" i="2"/>
  <c r="A434" i="2"/>
  <c r="A433" i="2"/>
  <c r="A432" i="2"/>
  <c r="A431" i="2"/>
  <c r="A430" i="2"/>
  <c r="A429" i="2"/>
  <c r="A428" i="2"/>
  <c r="A427" i="2"/>
  <c r="A426" i="2"/>
  <c r="A425" i="2"/>
  <c r="A424" i="2"/>
  <c r="A423" i="2"/>
  <c r="A422" i="2"/>
  <c r="A421" i="2"/>
  <c r="A420" i="2"/>
  <c r="A419" i="2"/>
  <c r="A418" i="2"/>
  <c r="A417" i="2"/>
  <c r="A416" i="2"/>
  <c r="A415" i="2"/>
  <c r="A414" i="2"/>
  <c r="A413" i="2"/>
  <c r="A412" i="2"/>
  <c r="A411" i="2"/>
  <c r="A410" i="2"/>
  <c r="A409" i="2"/>
  <c r="A408" i="2"/>
  <c r="A407" i="2"/>
  <c r="A406" i="2"/>
  <c r="A405" i="2"/>
  <c r="A404" i="2"/>
  <c r="A403" i="2"/>
  <c r="A402" i="2"/>
  <c r="A401" i="2"/>
  <c r="A400" i="2"/>
  <c r="A399" i="2"/>
  <c r="A398" i="2"/>
  <c r="A397" i="2"/>
  <c r="A396" i="2"/>
  <c r="A395" i="2"/>
  <c r="A394" i="2"/>
  <c r="A393" i="2"/>
  <c r="A392" i="2"/>
  <c r="A391" i="2"/>
  <c r="A390" i="2"/>
  <c r="A389" i="2"/>
  <c r="A388" i="2"/>
  <c r="A387" i="2"/>
  <c r="A386" i="2"/>
  <c r="A385" i="2"/>
  <c r="A384" i="2"/>
  <c r="A383" i="2"/>
  <c r="A382" i="2"/>
  <c r="A381" i="2"/>
  <c r="A380" i="2"/>
  <c r="A379" i="2"/>
  <c r="A378" i="2"/>
  <c r="A377" i="2"/>
  <c r="A376" i="2"/>
  <c r="A375" i="2"/>
  <c r="A374" i="2"/>
  <c r="A373" i="2"/>
  <c r="A372" i="2"/>
  <c r="A371" i="2"/>
  <c r="A370" i="2"/>
  <c r="A369" i="2"/>
  <c r="A368" i="2"/>
  <c r="A367" i="2"/>
  <c r="A366" i="2"/>
  <c r="A365" i="2"/>
  <c r="A364" i="2"/>
  <c r="A363" i="2"/>
  <c r="A362" i="2"/>
  <c r="A361" i="2"/>
  <c r="A360" i="2"/>
  <c r="A359" i="2"/>
  <c r="A358" i="2"/>
  <c r="A357" i="2"/>
  <c r="A356" i="2"/>
  <c r="A355" i="2"/>
  <c r="A354" i="2"/>
  <c r="A353" i="2"/>
  <c r="A352" i="2"/>
  <c r="A351" i="2"/>
  <c r="A350" i="2"/>
  <c r="A349" i="2"/>
  <c r="A348" i="2"/>
  <c r="A347" i="2"/>
  <c r="A346" i="2"/>
  <c r="A345" i="2"/>
  <c r="A344" i="2"/>
  <c r="A343" i="2"/>
  <c r="A342" i="2"/>
  <c r="A341" i="2"/>
  <c r="A340" i="2"/>
  <c r="A339" i="2"/>
  <c r="A338" i="2"/>
  <c r="A337" i="2"/>
  <c r="A336" i="2"/>
  <c r="A335" i="2"/>
  <c r="A334" i="2"/>
  <c r="A333" i="2"/>
  <c r="A332" i="2"/>
  <c r="A331" i="2"/>
  <c r="A330" i="2"/>
  <c r="A329" i="2"/>
  <c r="A328" i="2"/>
  <c r="A327" i="2"/>
  <c r="A326" i="2"/>
  <c r="A325" i="2"/>
  <c r="A324" i="2"/>
  <c r="A323" i="2"/>
  <c r="A322" i="2"/>
  <c r="A321" i="2"/>
  <c r="A320" i="2"/>
  <c r="A319" i="2"/>
  <c r="A318" i="2"/>
  <c r="A317" i="2"/>
  <c r="A316" i="2"/>
  <c r="A315" i="2"/>
  <c r="A314" i="2"/>
  <c r="A313" i="2"/>
  <c r="A312" i="2"/>
  <c r="A311" i="2"/>
  <c r="A310" i="2"/>
  <c r="A309" i="2"/>
  <c r="A308" i="2"/>
  <c r="A307" i="2"/>
  <c r="A306" i="2"/>
  <c r="A305" i="2"/>
  <c r="A304" i="2"/>
  <c r="A303" i="2"/>
  <c r="A302" i="2"/>
  <c r="A301" i="2"/>
  <c r="A300" i="2"/>
  <c r="A299" i="2"/>
  <c r="A298" i="2"/>
  <c r="A297" i="2"/>
  <c r="A296" i="2"/>
  <c r="A295" i="2"/>
  <c r="A294" i="2"/>
  <c r="A293" i="2"/>
  <c r="A292" i="2"/>
  <c r="A291" i="2"/>
  <c r="A290" i="2"/>
  <c r="A289" i="2"/>
  <c r="A288" i="2"/>
  <c r="A287" i="2"/>
  <c r="A286" i="2"/>
  <c r="A285" i="2"/>
  <c r="A284" i="2"/>
  <c r="A283" i="2"/>
  <c r="A282" i="2"/>
  <c r="A281" i="2"/>
  <c r="A280" i="2"/>
  <c r="A279" i="2"/>
  <c r="A278" i="2"/>
  <c r="A277" i="2"/>
  <c r="A276" i="2"/>
  <c r="A275" i="2"/>
  <c r="A274" i="2"/>
  <c r="A273" i="2"/>
  <c r="A272" i="2"/>
  <c r="A271" i="2"/>
  <c r="A270" i="2"/>
  <c r="A269" i="2"/>
  <c r="A268" i="2"/>
  <c r="A267" i="2"/>
  <c r="A266" i="2"/>
  <c r="A265" i="2"/>
  <c r="A264" i="2"/>
  <c r="A263" i="2"/>
  <c r="A262" i="2"/>
  <c r="A261" i="2"/>
  <c r="A260" i="2"/>
  <c r="A259" i="2"/>
  <c r="A258" i="2"/>
  <c r="A257" i="2"/>
  <c r="A256" i="2"/>
  <c r="A255" i="2"/>
  <c r="A254" i="2"/>
  <c r="A253" i="2"/>
  <c r="A252" i="2"/>
  <c r="A251" i="2"/>
  <c r="A250" i="2"/>
  <c r="A249" i="2"/>
  <c r="A248" i="2"/>
  <c r="A247" i="2"/>
  <c r="A246" i="2"/>
  <c r="A245" i="2"/>
  <c r="A244" i="2"/>
  <c r="A243" i="2"/>
  <c r="A242" i="2"/>
  <c r="A241" i="2"/>
  <c r="A240" i="2"/>
  <c r="A239" i="2"/>
  <c r="A238" i="2"/>
  <c r="A237" i="2"/>
  <c r="A236" i="2"/>
  <c r="A235" i="2"/>
  <c r="A234" i="2"/>
  <c r="A233" i="2"/>
  <c r="A232" i="2"/>
  <c r="A231" i="2"/>
  <c r="A230" i="2"/>
  <c r="A229" i="2"/>
  <c r="A228" i="2"/>
  <c r="A227" i="2"/>
  <c r="A226" i="2"/>
  <c r="A225" i="2"/>
  <c r="A224" i="2"/>
  <c r="A223" i="2"/>
  <c r="A222" i="2"/>
  <c r="A221" i="2"/>
  <c r="A220" i="2"/>
  <c r="A219" i="2"/>
  <c r="A218" i="2"/>
  <c r="A217" i="2"/>
  <c r="A216" i="2"/>
  <c r="A215" i="2"/>
  <c r="A214" i="2"/>
  <c r="A213" i="2"/>
  <c r="A212" i="2"/>
  <c r="A211" i="2"/>
  <c r="A210" i="2"/>
  <c r="A209" i="2"/>
  <c r="A208" i="2"/>
  <c r="A207" i="2"/>
  <c r="A206" i="2"/>
  <c r="A205" i="2"/>
  <c r="A204" i="2"/>
  <c r="A203" i="2"/>
  <c r="A202" i="2"/>
  <c r="A201" i="2"/>
  <c r="A200" i="2"/>
  <c r="A199" i="2"/>
  <c r="A198" i="2"/>
  <c r="A197" i="2"/>
  <c r="A196" i="2"/>
  <c r="A195" i="2"/>
  <c r="A194" i="2"/>
  <c r="A193" i="2"/>
  <c r="A192" i="2"/>
  <c r="A191" i="2"/>
  <c r="A190" i="2"/>
  <c r="A189" i="2"/>
  <c r="A188" i="2"/>
  <c r="A187" i="2"/>
  <c r="A186" i="2"/>
  <c r="A185" i="2"/>
  <c r="A184" i="2"/>
  <c r="A183" i="2"/>
  <c r="A182" i="2"/>
  <c r="A181" i="2"/>
  <c r="A180" i="2"/>
  <c r="A179" i="2"/>
  <c r="A178" i="2"/>
  <c r="A177" i="2"/>
  <c r="A176" i="2"/>
  <c r="A175" i="2"/>
  <c r="A174" i="2"/>
  <c r="A173" i="2"/>
  <c r="A172" i="2"/>
  <c r="A171" i="2"/>
  <c r="A170" i="2"/>
  <c r="A169" i="2"/>
  <c r="A168" i="2"/>
  <c r="A167" i="2"/>
  <c r="A166" i="2"/>
  <c r="A165" i="2"/>
  <c r="A164" i="2"/>
  <c r="A163" i="2"/>
  <c r="A162" i="2"/>
  <c r="A161" i="2"/>
  <c r="A160" i="2"/>
  <c r="A159" i="2"/>
  <c r="A158" i="2"/>
  <c r="A157" i="2"/>
  <c r="A156" i="2"/>
  <c r="A155" i="2"/>
  <c r="A154" i="2"/>
  <c r="A153" i="2"/>
  <c r="A152" i="2"/>
  <c r="A151" i="2"/>
  <c r="A150" i="2"/>
  <c r="A149" i="2"/>
  <c r="A148" i="2"/>
  <c r="A147" i="2"/>
  <c r="A146" i="2"/>
  <c r="A145" i="2"/>
  <c r="A144" i="2"/>
  <c r="A143" i="2"/>
  <c r="A142" i="2"/>
  <c r="A141" i="2"/>
  <c r="A140" i="2"/>
  <c r="A139" i="2"/>
  <c r="A138" i="2"/>
  <c r="A137" i="2"/>
  <c r="A136" i="2"/>
  <c r="A135" i="2"/>
  <c r="A134" i="2"/>
  <c r="A133" i="2"/>
  <c r="A132" i="2"/>
  <c r="A131" i="2"/>
  <c r="A130" i="2"/>
  <c r="A129" i="2"/>
  <c r="A128" i="2"/>
  <c r="A127" i="2"/>
  <c r="A126" i="2"/>
  <c r="A125" i="2"/>
  <c r="A124" i="2"/>
  <c r="A123" i="2"/>
  <c r="A122" i="2"/>
  <c r="A121" i="2"/>
  <c r="A120" i="2"/>
  <c r="A119" i="2"/>
  <c r="A118" i="2"/>
  <c r="A117" i="2"/>
  <c r="A116" i="2"/>
  <c r="A115" i="2"/>
  <c r="A114" i="2"/>
  <c r="A113" i="2"/>
  <c r="A112" i="2"/>
  <c r="A111" i="2"/>
  <c r="A110" i="2"/>
  <c r="A109" i="2"/>
  <c r="A108" i="2"/>
  <c r="A107" i="2"/>
  <c r="A106" i="2"/>
  <c r="A105" i="2"/>
  <c r="A104" i="2"/>
  <c r="A103" i="2"/>
  <c r="A102" i="2"/>
  <c r="A101" i="2"/>
  <c r="A100" i="2"/>
  <c r="A99" i="2"/>
  <c r="A98" i="2"/>
  <c r="A97" i="2"/>
  <c r="A96" i="2"/>
  <c r="A95" i="2"/>
  <c r="A94" i="2"/>
  <c r="A93" i="2"/>
  <c r="A92" i="2"/>
  <c r="A91" i="2"/>
  <c r="A90" i="2"/>
  <c r="A89" i="2"/>
  <c r="A88" i="2"/>
  <c r="A87" i="2"/>
  <c r="A86" i="2"/>
  <c r="A85" i="2"/>
  <c r="A84" i="2"/>
  <c r="A83" i="2"/>
  <c r="A82" i="2"/>
  <c r="A81" i="2"/>
  <c r="A80" i="2"/>
  <c r="A79" i="2"/>
  <c r="A78" i="2"/>
  <c r="A77" i="2"/>
  <c r="A76" i="2"/>
  <c r="A75" i="2"/>
  <c r="A74" i="2"/>
  <c r="A73" i="2"/>
  <c r="A72" i="2"/>
  <c r="A71" i="2"/>
  <c r="A70" i="2"/>
  <c r="A69" i="2"/>
  <c r="A68" i="2"/>
  <c r="A67" i="2"/>
  <c r="A66" i="2"/>
  <c r="A65" i="2"/>
  <c r="A64" i="2"/>
  <c r="A63" i="2"/>
  <c r="A62" i="2"/>
  <c r="A61" i="2"/>
  <c r="A60" i="2"/>
  <c r="A59" i="2"/>
  <c r="A58" i="2"/>
  <c r="A57" i="2"/>
  <c r="A56" i="2"/>
  <c r="A55" i="2"/>
  <c r="A54" i="2"/>
  <c r="A53" i="2"/>
  <c r="A52" i="2"/>
  <c r="A51" i="2"/>
  <c r="A50" i="2"/>
  <c r="A49" i="2"/>
  <c r="A48" i="2"/>
  <c r="A47" i="2"/>
  <c r="A46" i="2"/>
  <c r="A45" i="2"/>
  <c r="A44" i="2"/>
  <c r="A43" i="2"/>
  <c r="A42" i="2"/>
  <c r="A41" i="2"/>
  <c r="A40" i="2"/>
  <c r="A39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A13" i="2"/>
  <c r="A12" i="2"/>
  <c r="A11" i="2"/>
  <c r="A10" i="2"/>
  <c r="A9" i="2"/>
  <c r="A8" i="2"/>
  <c r="A7" i="2"/>
  <c r="A6" i="2"/>
  <c r="A5" i="2"/>
  <c r="A4" i="2"/>
  <c r="A3" i="2"/>
  <c r="F37" i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C106" i="1" l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D2" i="1" s="1"/>
  <c r="D3" i="1" s="1"/>
  <c r="D4" i="1" l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D19" i="1" s="1"/>
  <c r="D20" i="1" s="1"/>
  <c r="D21" i="1" s="1"/>
  <c r="D22" i="1" s="1"/>
  <c r="D23" i="1" s="1"/>
  <c r="D24" i="1" s="1"/>
  <c r="D25" i="1" s="1"/>
  <c r="D26" i="1" s="1"/>
  <c r="D27" i="1" s="1"/>
  <c r="D28" i="1" s="1"/>
  <c r="D29" i="1" s="1"/>
  <c r="D30" i="1" s="1"/>
  <c r="D31" i="1" s="1"/>
  <c r="D32" i="1" s="1"/>
  <c r="D33" i="1" s="1"/>
  <c r="D34" i="1" s="1"/>
  <c r="D35" i="1" s="1"/>
  <c r="D36" i="1" s="1"/>
  <c r="D37" i="1" s="1"/>
  <c r="D38" i="1" s="1"/>
  <c r="D39" i="1" s="1"/>
  <c r="D40" i="1" s="1"/>
  <c r="D41" i="1" s="1"/>
  <c r="D42" i="1" s="1"/>
  <c r="D43" i="1" s="1"/>
  <c r="D44" i="1" s="1"/>
  <c r="D45" i="1" s="1"/>
  <c r="D46" i="1" s="1"/>
  <c r="D47" i="1" s="1"/>
  <c r="D48" i="1" s="1"/>
  <c r="D49" i="1" s="1"/>
  <c r="D50" i="1" s="1"/>
  <c r="D51" i="1" s="1"/>
  <c r="D52" i="1" s="1"/>
  <c r="D53" i="1" s="1"/>
  <c r="D54" i="1" s="1"/>
  <c r="D55" i="1" s="1"/>
  <c r="D56" i="1" s="1"/>
  <c r="D57" i="1" s="1"/>
  <c r="D58" i="1" s="1"/>
  <c r="D59" i="1" s="1"/>
  <c r="D60" i="1" s="1"/>
  <c r="D61" i="1" s="1"/>
  <c r="D62" i="1" s="1"/>
  <c r="D63" i="1" s="1"/>
  <c r="D64" i="1" s="1"/>
  <c r="D65" i="1" s="1"/>
  <c r="D66" i="1" s="1"/>
  <c r="D67" i="1" s="1"/>
  <c r="D68" i="1" s="1"/>
  <c r="D69" i="1" s="1"/>
  <c r="D70" i="1" s="1"/>
  <c r="D71" i="1" s="1"/>
  <c r="D72" i="1" s="1"/>
  <c r="D73" i="1" s="1"/>
  <c r="D74" i="1" s="1"/>
  <c r="D75" i="1" s="1"/>
  <c r="D76" i="1" s="1"/>
  <c r="D77" i="1" s="1"/>
  <c r="D78" i="1" s="1"/>
  <c r="D79" i="1" s="1"/>
  <c r="D80" i="1" s="1"/>
  <c r="D81" i="1" s="1"/>
  <c r="D82" i="1" s="1"/>
  <c r="D83" i="1" s="1"/>
  <c r="D84" i="1" s="1"/>
  <c r="D85" i="1" s="1"/>
  <c r="D86" i="1" s="1"/>
  <c r="D87" i="1" s="1"/>
  <c r="D88" i="1" s="1"/>
  <c r="D89" i="1" s="1"/>
  <c r="D90" i="1" s="1"/>
  <c r="D91" i="1" s="1"/>
  <c r="D92" i="1" s="1"/>
  <c r="D93" i="1" s="1"/>
  <c r="D94" i="1" s="1"/>
  <c r="D95" i="1" s="1"/>
  <c r="D96" i="1" s="1"/>
  <c r="D97" i="1" s="1"/>
  <c r="D98" i="1" s="1"/>
  <c r="D99" i="1" s="1"/>
  <c r="D100" i="1" s="1"/>
  <c r="D101" i="1" s="1"/>
  <c r="D102" i="1" s="1"/>
  <c r="D103" i="1" s="1"/>
  <c r="D104" i="1" s="1"/>
  <c r="D105" i="1" s="1"/>
  <c r="D106" i="1" s="1"/>
</calcChain>
</file>

<file path=xl/sharedStrings.xml><?xml version="1.0" encoding="utf-8"?>
<sst xmlns="http://schemas.openxmlformats.org/spreadsheetml/2006/main" count="12" uniqueCount="12">
  <si>
    <t>Year</t>
  </si>
  <si>
    <t>Cumulative (GW)</t>
  </si>
  <si>
    <t>Annaul (MW)</t>
  </si>
  <si>
    <t>Annual (GW)</t>
  </si>
  <si>
    <t>HSS</t>
  </si>
  <si>
    <t>LSS</t>
  </si>
  <si>
    <t xml:space="preserve">Si wt% </t>
  </si>
  <si>
    <t>IRENA (2016)</t>
  </si>
  <si>
    <t>Glass</t>
  </si>
  <si>
    <t>Ovaitt et al., iScience (2021)</t>
  </si>
  <si>
    <t>Vicari Stefani et al. (2026)</t>
  </si>
  <si>
    <t>Si: Ovaitt et al., iScience (2021)  grams/watt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</si>
</sst>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9">
    <xf numFmtId="0" fontId="0" fillId="0" borderId="0" xfId="0"/>
    <xf numFmtId="2" fontId="0" fillId="0" borderId="0" xfId="0" applyNumberFormat="1"/>
    <xf numFmtId="10" fontId="0" fillId="2" borderId="0" xfId="0" applyNumberFormat="1" applyFill="1"/>
    <xf numFmtId="4" fontId="1" fillId="0" borderId="0" xfId="0" applyNumberFormat="1" applyFont="1"/>
    <xf numFmtId="9" fontId="0" fillId="0" borderId="0" xfId="1" applyFont="1" applyBorder="1"/>
    <xf numFmtId="9" fontId="0" fillId="0" borderId="0" xfId="1" applyFont="1"/>
    <xf numFmtId="164" fontId="0" fillId="0" borderId="0" xfId="1" applyNumberFormat="1" applyFont="1"/>
    <xf numFmtId="0" fontId="0" fillId="0" borderId="0" xfId="1" applyNumberFormat="1" applyFont="1"/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Power to Mass</a:t>
            </a:r>
          </a:p>
        </c:rich>
      </c:tx>
      <c:layout>
        <c:manualLayout>
          <c:xMode val="edge"/>
          <c:yMode val="edge"/>
          <c:x val="0.40963911279196491"/>
          <c:y val="2.650762647373010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4339698998691253"/>
          <c:y val="8.426169163740739E-2"/>
          <c:w val="0.79880742667106752"/>
          <c:h val="0.77398449700422067"/>
        </c:manualLayout>
      </c:layout>
      <c:scatterChart>
        <c:scatterStyle val="lineMarker"/>
        <c:varyColors val="0"/>
        <c:ser>
          <c:idx val="0"/>
          <c:order val="0"/>
          <c:tx>
            <c:strRef>
              <c:f>Sheet1!$H$1</c:f>
              <c:strCache>
                <c:ptCount val="1"/>
                <c:pt idx="0">
                  <c:v>Ovaitt et al., iScience (2021)</c:v>
                </c:pt>
              </c:strCache>
            </c:strRef>
          </c:tx>
          <c:spPr>
            <a:ln w="19050">
              <a:solidFill>
                <a:srgbClr val="00B050"/>
              </a:solidFill>
            </a:ln>
          </c:spPr>
          <c:marker>
            <c:spPr>
              <a:solidFill>
                <a:srgbClr val="00B050"/>
              </a:solidFill>
            </c:spPr>
          </c:marker>
          <c:xVal>
            <c:numRef>
              <c:f>Sheet1!$A$2:$A$36</c:f>
              <c:numCache>
                <c:formatCode>General</c:formatCode>
                <c:ptCount val="35"/>
                <c:pt idx="0">
                  <c:v>1996</c:v>
                </c:pt>
                <c:pt idx="1">
                  <c:v>1997</c:v>
                </c:pt>
                <c:pt idx="2">
                  <c:v>1998</c:v>
                </c:pt>
                <c:pt idx="3">
                  <c:v>1999</c:v>
                </c:pt>
                <c:pt idx="4">
                  <c:v>2000</c:v>
                </c:pt>
                <c:pt idx="5">
                  <c:v>2001</c:v>
                </c:pt>
                <c:pt idx="6">
                  <c:v>2002</c:v>
                </c:pt>
                <c:pt idx="7">
                  <c:v>2003</c:v>
                </c:pt>
                <c:pt idx="8">
                  <c:v>2004</c:v>
                </c:pt>
                <c:pt idx="9">
                  <c:v>2005</c:v>
                </c:pt>
                <c:pt idx="10">
                  <c:v>2006</c:v>
                </c:pt>
                <c:pt idx="11">
                  <c:v>2007</c:v>
                </c:pt>
                <c:pt idx="12">
                  <c:v>2008</c:v>
                </c:pt>
                <c:pt idx="13">
                  <c:v>2009</c:v>
                </c:pt>
                <c:pt idx="14">
                  <c:v>2010</c:v>
                </c:pt>
                <c:pt idx="15">
                  <c:v>2011</c:v>
                </c:pt>
                <c:pt idx="16">
                  <c:v>2012</c:v>
                </c:pt>
                <c:pt idx="17">
                  <c:v>2013</c:v>
                </c:pt>
                <c:pt idx="18">
                  <c:v>2014</c:v>
                </c:pt>
                <c:pt idx="19">
                  <c:v>2015</c:v>
                </c:pt>
                <c:pt idx="20">
                  <c:v>2016</c:v>
                </c:pt>
                <c:pt idx="21">
                  <c:v>2017</c:v>
                </c:pt>
                <c:pt idx="22">
                  <c:v>2018</c:v>
                </c:pt>
                <c:pt idx="23">
                  <c:v>2019</c:v>
                </c:pt>
                <c:pt idx="24">
                  <c:v>2020</c:v>
                </c:pt>
                <c:pt idx="25">
                  <c:v>2021</c:v>
                </c:pt>
                <c:pt idx="26">
                  <c:v>2022</c:v>
                </c:pt>
                <c:pt idx="27">
                  <c:v>2023</c:v>
                </c:pt>
                <c:pt idx="28">
                  <c:v>2024</c:v>
                </c:pt>
                <c:pt idx="29">
                  <c:v>2025</c:v>
                </c:pt>
                <c:pt idx="30">
                  <c:v>2026</c:v>
                </c:pt>
                <c:pt idx="31">
                  <c:v>2027</c:v>
                </c:pt>
                <c:pt idx="32">
                  <c:v>2028</c:v>
                </c:pt>
                <c:pt idx="33">
                  <c:v>2029</c:v>
                </c:pt>
                <c:pt idx="34">
                  <c:v>2030</c:v>
                </c:pt>
              </c:numCache>
            </c:numRef>
          </c:xVal>
          <c:yVal>
            <c:numRef>
              <c:f>Sheet1!$H$2:$H$36</c:f>
              <c:numCache>
                <c:formatCode>0.00</c:formatCode>
                <c:ptCount val="35"/>
                <c:pt idx="0">
                  <c:v>104.85944636905512</c:v>
                </c:pt>
                <c:pt idx="1">
                  <c:v>100.77382653059004</c:v>
                </c:pt>
                <c:pt idx="2">
                  <c:v>98.009014107274126</c:v>
                </c:pt>
                <c:pt idx="3">
                  <c:v>96.104525677416916</c:v>
                </c:pt>
                <c:pt idx="4">
                  <c:v>94.097836755067078</c:v>
                </c:pt>
                <c:pt idx="5">
                  <c:v>92.372583114779417</c:v>
                </c:pt>
                <c:pt idx="6">
                  <c:v>91.101824297668301</c:v>
                </c:pt>
                <c:pt idx="7">
                  <c:v>89.966553266690724</c:v>
                </c:pt>
                <c:pt idx="8">
                  <c:v>88.601432130906574</c:v>
                </c:pt>
                <c:pt idx="9">
                  <c:v>85.981485768250664</c:v>
                </c:pt>
                <c:pt idx="10">
                  <c:v>84.193545779264554</c:v>
                </c:pt>
                <c:pt idx="11">
                  <c:v>83.096907447906261</c:v>
                </c:pt>
                <c:pt idx="12">
                  <c:v>82.02877060997578</c:v>
                </c:pt>
                <c:pt idx="13">
                  <c:v>81.147459980008009</c:v>
                </c:pt>
                <c:pt idx="14">
                  <c:v>80.286218198435378</c:v>
                </c:pt>
                <c:pt idx="15">
                  <c:v>78.009681965629127</c:v>
                </c:pt>
                <c:pt idx="16">
                  <c:v>76.972730360058435</c:v>
                </c:pt>
                <c:pt idx="17">
                  <c:v>72.423793263837496</c:v>
                </c:pt>
                <c:pt idx="18">
                  <c:v>71.751335008233141</c:v>
                </c:pt>
                <c:pt idx="19">
                  <c:v>67.83948903880588</c:v>
                </c:pt>
                <c:pt idx="20">
                  <c:v>65.06139367433714</c:v>
                </c:pt>
                <c:pt idx="21">
                  <c:v>64.859117775711852</c:v>
                </c:pt>
                <c:pt idx="22">
                  <c:v>62.583664288711944</c:v>
                </c:pt>
                <c:pt idx="23">
                  <c:v>61.192740393281241</c:v>
                </c:pt>
                <c:pt idx="24">
                  <c:v>59.708250595798276</c:v>
                </c:pt>
                <c:pt idx="25">
                  <c:v>57.656813225558658</c:v>
                </c:pt>
                <c:pt idx="26">
                  <c:v>56.512013230160413</c:v>
                </c:pt>
                <c:pt idx="27">
                  <c:v>55.683974515200646</c:v>
                </c:pt>
                <c:pt idx="28">
                  <c:v>54.303214578596659</c:v>
                </c:pt>
                <c:pt idx="29">
                  <c:v>53.065446717913204</c:v>
                </c:pt>
                <c:pt idx="30">
                  <c:v>53.071119164179251</c:v>
                </c:pt>
                <c:pt idx="31">
                  <c:v>53.125467021151898</c:v>
                </c:pt>
                <c:pt idx="32">
                  <c:v>53.229372262171573</c:v>
                </c:pt>
                <c:pt idx="33">
                  <c:v>53.630928714887673</c:v>
                </c:pt>
                <c:pt idx="34">
                  <c:v>54.048264765492526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306-4D2E-BED7-76B87EA6B476}"/>
            </c:ext>
          </c:extLst>
        </c:ser>
        <c:ser>
          <c:idx val="1"/>
          <c:order val="1"/>
          <c:tx>
            <c:strRef>
              <c:f>Sheet2!$A$1</c:f>
              <c:strCache>
                <c:ptCount val="1"/>
                <c:pt idx="0">
                  <c:v>Vicari Stefani et al. (2026)</c:v>
                </c:pt>
              </c:strCache>
            </c:strRef>
          </c:tx>
          <c:spPr>
            <a:ln>
              <a:noFill/>
            </a:ln>
          </c:spPr>
          <c:marker>
            <c:symbol val="circle"/>
            <c:size val="6"/>
          </c:marker>
          <c:xVal>
            <c:numRef>
              <c:f>'[1]Figure 1'!$B$2:$B$863</c:f>
              <c:numCache>
                <c:formatCode>General</c:formatCode>
                <c:ptCount val="862"/>
                <c:pt idx="0">
                  <c:v>2023</c:v>
                </c:pt>
                <c:pt idx="1">
                  <c:v>2023</c:v>
                </c:pt>
                <c:pt idx="2">
                  <c:v>2023</c:v>
                </c:pt>
                <c:pt idx="3">
                  <c:v>2023</c:v>
                </c:pt>
                <c:pt idx="4">
                  <c:v>2023</c:v>
                </c:pt>
                <c:pt idx="5">
                  <c:v>2023</c:v>
                </c:pt>
                <c:pt idx="6">
                  <c:v>2022</c:v>
                </c:pt>
                <c:pt idx="7">
                  <c:v>2024</c:v>
                </c:pt>
                <c:pt idx="8">
                  <c:v>2023</c:v>
                </c:pt>
                <c:pt idx="9">
                  <c:v>2022</c:v>
                </c:pt>
                <c:pt idx="10">
                  <c:v>2024</c:v>
                </c:pt>
                <c:pt idx="11">
                  <c:v>2023</c:v>
                </c:pt>
                <c:pt idx="12">
                  <c:v>2022</c:v>
                </c:pt>
                <c:pt idx="13">
                  <c:v>2024</c:v>
                </c:pt>
                <c:pt idx="14">
                  <c:v>2023</c:v>
                </c:pt>
                <c:pt idx="15">
                  <c:v>2022</c:v>
                </c:pt>
                <c:pt idx="16">
                  <c:v>2024</c:v>
                </c:pt>
                <c:pt idx="17">
                  <c:v>2023</c:v>
                </c:pt>
                <c:pt idx="18">
                  <c:v>2021</c:v>
                </c:pt>
                <c:pt idx="19">
                  <c:v>2022</c:v>
                </c:pt>
                <c:pt idx="20">
                  <c:v>2024</c:v>
                </c:pt>
                <c:pt idx="21">
                  <c:v>2023</c:v>
                </c:pt>
                <c:pt idx="22">
                  <c:v>2021</c:v>
                </c:pt>
                <c:pt idx="23">
                  <c:v>2022</c:v>
                </c:pt>
                <c:pt idx="24">
                  <c:v>2024</c:v>
                </c:pt>
                <c:pt idx="25">
                  <c:v>2024</c:v>
                </c:pt>
                <c:pt idx="26">
                  <c:v>2023</c:v>
                </c:pt>
                <c:pt idx="27">
                  <c:v>2023</c:v>
                </c:pt>
                <c:pt idx="28">
                  <c:v>2021</c:v>
                </c:pt>
                <c:pt idx="29">
                  <c:v>2021</c:v>
                </c:pt>
                <c:pt idx="30">
                  <c:v>2022</c:v>
                </c:pt>
                <c:pt idx="31">
                  <c:v>2024</c:v>
                </c:pt>
                <c:pt idx="32">
                  <c:v>2023</c:v>
                </c:pt>
                <c:pt idx="33">
                  <c:v>2021</c:v>
                </c:pt>
                <c:pt idx="34">
                  <c:v>2021</c:v>
                </c:pt>
                <c:pt idx="35">
                  <c:v>2021</c:v>
                </c:pt>
                <c:pt idx="36">
                  <c:v>2022</c:v>
                </c:pt>
                <c:pt idx="37">
                  <c:v>2024</c:v>
                </c:pt>
                <c:pt idx="38">
                  <c:v>2023</c:v>
                </c:pt>
                <c:pt idx="39">
                  <c:v>2021</c:v>
                </c:pt>
                <c:pt idx="40">
                  <c:v>2021</c:v>
                </c:pt>
                <c:pt idx="41">
                  <c:v>2021</c:v>
                </c:pt>
                <c:pt idx="42">
                  <c:v>2022</c:v>
                </c:pt>
                <c:pt idx="43">
                  <c:v>2024</c:v>
                </c:pt>
                <c:pt idx="44">
                  <c:v>2023</c:v>
                </c:pt>
                <c:pt idx="45">
                  <c:v>2021</c:v>
                </c:pt>
                <c:pt idx="46">
                  <c:v>2021</c:v>
                </c:pt>
                <c:pt idx="47">
                  <c:v>2021</c:v>
                </c:pt>
                <c:pt idx="48">
                  <c:v>2024</c:v>
                </c:pt>
                <c:pt idx="49">
                  <c:v>2023</c:v>
                </c:pt>
                <c:pt idx="50">
                  <c:v>2021</c:v>
                </c:pt>
                <c:pt idx="51">
                  <c:v>2021</c:v>
                </c:pt>
                <c:pt idx="52">
                  <c:v>2021</c:v>
                </c:pt>
                <c:pt idx="53">
                  <c:v>2021</c:v>
                </c:pt>
                <c:pt idx="54">
                  <c:v>2024</c:v>
                </c:pt>
                <c:pt idx="55">
                  <c:v>2023</c:v>
                </c:pt>
                <c:pt idx="56">
                  <c:v>2021</c:v>
                </c:pt>
                <c:pt idx="57">
                  <c:v>2021</c:v>
                </c:pt>
                <c:pt idx="58">
                  <c:v>2021</c:v>
                </c:pt>
                <c:pt idx="59">
                  <c:v>2021</c:v>
                </c:pt>
                <c:pt idx="60">
                  <c:v>2023</c:v>
                </c:pt>
                <c:pt idx="61">
                  <c:v>2023</c:v>
                </c:pt>
                <c:pt idx="62">
                  <c:v>2021</c:v>
                </c:pt>
                <c:pt idx="63">
                  <c:v>2021</c:v>
                </c:pt>
                <c:pt idx="64">
                  <c:v>2021</c:v>
                </c:pt>
                <c:pt idx="65">
                  <c:v>2023</c:v>
                </c:pt>
                <c:pt idx="66">
                  <c:v>2023</c:v>
                </c:pt>
                <c:pt idx="67">
                  <c:v>2021</c:v>
                </c:pt>
                <c:pt idx="68">
                  <c:v>2021</c:v>
                </c:pt>
                <c:pt idx="69">
                  <c:v>2021</c:v>
                </c:pt>
                <c:pt idx="70">
                  <c:v>2023</c:v>
                </c:pt>
                <c:pt idx="71">
                  <c:v>2021</c:v>
                </c:pt>
                <c:pt idx="72">
                  <c:v>2021</c:v>
                </c:pt>
                <c:pt idx="73">
                  <c:v>2021</c:v>
                </c:pt>
                <c:pt idx="74">
                  <c:v>2023</c:v>
                </c:pt>
                <c:pt idx="75">
                  <c:v>2021</c:v>
                </c:pt>
                <c:pt idx="76">
                  <c:v>2021</c:v>
                </c:pt>
                <c:pt idx="77">
                  <c:v>2021</c:v>
                </c:pt>
                <c:pt idx="78">
                  <c:v>2023</c:v>
                </c:pt>
                <c:pt idx="79">
                  <c:v>2021</c:v>
                </c:pt>
                <c:pt idx="80">
                  <c:v>2021</c:v>
                </c:pt>
                <c:pt idx="81">
                  <c:v>2021</c:v>
                </c:pt>
                <c:pt idx="82">
                  <c:v>2021</c:v>
                </c:pt>
                <c:pt idx="83">
                  <c:v>2021</c:v>
                </c:pt>
                <c:pt idx="84">
                  <c:v>2021</c:v>
                </c:pt>
                <c:pt idx="85">
                  <c:v>2024</c:v>
                </c:pt>
                <c:pt idx="86">
                  <c:v>2024</c:v>
                </c:pt>
                <c:pt idx="87">
                  <c:v>2021</c:v>
                </c:pt>
                <c:pt idx="88">
                  <c:v>2024</c:v>
                </c:pt>
                <c:pt idx="89">
                  <c:v>2022</c:v>
                </c:pt>
                <c:pt idx="90">
                  <c:v>2021</c:v>
                </c:pt>
                <c:pt idx="91">
                  <c:v>2022</c:v>
                </c:pt>
                <c:pt idx="92">
                  <c:v>2024</c:v>
                </c:pt>
                <c:pt idx="93">
                  <c:v>2022</c:v>
                </c:pt>
                <c:pt idx="94">
                  <c:v>2021</c:v>
                </c:pt>
                <c:pt idx="95">
                  <c:v>2022</c:v>
                </c:pt>
                <c:pt idx="96">
                  <c:v>2024</c:v>
                </c:pt>
                <c:pt idx="97">
                  <c:v>2022</c:v>
                </c:pt>
                <c:pt idx="98">
                  <c:v>2021</c:v>
                </c:pt>
                <c:pt idx="99">
                  <c:v>2021</c:v>
                </c:pt>
                <c:pt idx="100">
                  <c:v>2021</c:v>
                </c:pt>
                <c:pt idx="101">
                  <c:v>2024</c:v>
                </c:pt>
                <c:pt idx="102">
                  <c:v>2022</c:v>
                </c:pt>
                <c:pt idx="103">
                  <c:v>2021</c:v>
                </c:pt>
                <c:pt idx="104">
                  <c:v>2021</c:v>
                </c:pt>
                <c:pt idx="105">
                  <c:v>2021</c:v>
                </c:pt>
                <c:pt idx="106">
                  <c:v>2024</c:v>
                </c:pt>
                <c:pt idx="107">
                  <c:v>2021</c:v>
                </c:pt>
                <c:pt idx="108">
                  <c:v>2020</c:v>
                </c:pt>
                <c:pt idx="109">
                  <c:v>2022</c:v>
                </c:pt>
                <c:pt idx="110">
                  <c:v>2021</c:v>
                </c:pt>
                <c:pt idx="111">
                  <c:v>2021</c:v>
                </c:pt>
                <c:pt idx="112">
                  <c:v>2021</c:v>
                </c:pt>
                <c:pt idx="113">
                  <c:v>2020</c:v>
                </c:pt>
                <c:pt idx="114">
                  <c:v>2021</c:v>
                </c:pt>
                <c:pt idx="115">
                  <c:v>2021</c:v>
                </c:pt>
                <c:pt idx="116">
                  <c:v>2024</c:v>
                </c:pt>
                <c:pt idx="117">
                  <c:v>2021</c:v>
                </c:pt>
                <c:pt idx="118">
                  <c:v>2021</c:v>
                </c:pt>
                <c:pt idx="119">
                  <c:v>2021</c:v>
                </c:pt>
                <c:pt idx="120">
                  <c:v>2024</c:v>
                </c:pt>
                <c:pt idx="121">
                  <c:v>2021</c:v>
                </c:pt>
                <c:pt idx="122">
                  <c:v>2024</c:v>
                </c:pt>
                <c:pt idx="123">
                  <c:v>2024</c:v>
                </c:pt>
                <c:pt idx="124">
                  <c:v>2024</c:v>
                </c:pt>
                <c:pt idx="125">
                  <c:v>2021</c:v>
                </c:pt>
                <c:pt idx="126">
                  <c:v>2022</c:v>
                </c:pt>
                <c:pt idx="127">
                  <c:v>2024</c:v>
                </c:pt>
                <c:pt idx="128">
                  <c:v>2024</c:v>
                </c:pt>
                <c:pt idx="129">
                  <c:v>2024</c:v>
                </c:pt>
                <c:pt idx="130">
                  <c:v>2022</c:v>
                </c:pt>
                <c:pt idx="131">
                  <c:v>2022</c:v>
                </c:pt>
                <c:pt idx="132">
                  <c:v>2022</c:v>
                </c:pt>
                <c:pt idx="133">
                  <c:v>2022</c:v>
                </c:pt>
                <c:pt idx="134">
                  <c:v>2023</c:v>
                </c:pt>
                <c:pt idx="135">
                  <c:v>2024</c:v>
                </c:pt>
                <c:pt idx="136">
                  <c:v>2024</c:v>
                </c:pt>
                <c:pt idx="137">
                  <c:v>2024</c:v>
                </c:pt>
                <c:pt idx="138">
                  <c:v>2022</c:v>
                </c:pt>
                <c:pt idx="139">
                  <c:v>2022</c:v>
                </c:pt>
                <c:pt idx="140">
                  <c:v>2022</c:v>
                </c:pt>
                <c:pt idx="141">
                  <c:v>2022</c:v>
                </c:pt>
                <c:pt idx="142">
                  <c:v>2022</c:v>
                </c:pt>
                <c:pt idx="143">
                  <c:v>2022</c:v>
                </c:pt>
                <c:pt idx="144">
                  <c:v>2023</c:v>
                </c:pt>
                <c:pt idx="145">
                  <c:v>2024</c:v>
                </c:pt>
                <c:pt idx="146">
                  <c:v>2024</c:v>
                </c:pt>
                <c:pt idx="147">
                  <c:v>2024</c:v>
                </c:pt>
                <c:pt idx="148">
                  <c:v>2022</c:v>
                </c:pt>
                <c:pt idx="149">
                  <c:v>2022</c:v>
                </c:pt>
                <c:pt idx="150">
                  <c:v>2022</c:v>
                </c:pt>
                <c:pt idx="151">
                  <c:v>2022</c:v>
                </c:pt>
                <c:pt idx="152">
                  <c:v>2022</c:v>
                </c:pt>
                <c:pt idx="153">
                  <c:v>2022</c:v>
                </c:pt>
                <c:pt idx="154">
                  <c:v>2022</c:v>
                </c:pt>
                <c:pt idx="155">
                  <c:v>2022</c:v>
                </c:pt>
                <c:pt idx="156">
                  <c:v>2023</c:v>
                </c:pt>
                <c:pt idx="157">
                  <c:v>2024</c:v>
                </c:pt>
                <c:pt idx="158">
                  <c:v>2024</c:v>
                </c:pt>
                <c:pt idx="159">
                  <c:v>2022</c:v>
                </c:pt>
                <c:pt idx="160">
                  <c:v>2022</c:v>
                </c:pt>
                <c:pt idx="161">
                  <c:v>2022</c:v>
                </c:pt>
                <c:pt idx="162">
                  <c:v>2022</c:v>
                </c:pt>
                <c:pt idx="163">
                  <c:v>2022</c:v>
                </c:pt>
                <c:pt idx="164">
                  <c:v>2022</c:v>
                </c:pt>
                <c:pt idx="165">
                  <c:v>2021</c:v>
                </c:pt>
                <c:pt idx="166">
                  <c:v>2022</c:v>
                </c:pt>
                <c:pt idx="167">
                  <c:v>2022</c:v>
                </c:pt>
                <c:pt idx="168">
                  <c:v>2023</c:v>
                </c:pt>
                <c:pt idx="169">
                  <c:v>2024</c:v>
                </c:pt>
                <c:pt idx="170">
                  <c:v>2022</c:v>
                </c:pt>
                <c:pt idx="171">
                  <c:v>2022</c:v>
                </c:pt>
                <c:pt idx="172">
                  <c:v>2022</c:v>
                </c:pt>
                <c:pt idx="173">
                  <c:v>2022</c:v>
                </c:pt>
                <c:pt idx="174">
                  <c:v>2022</c:v>
                </c:pt>
                <c:pt idx="175">
                  <c:v>2021</c:v>
                </c:pt>
                <c:pt idx="176">
                  <c:v>2022</c:v>
                </c:pt>
                <c:pt idx="177">
                  <c:v>2022</c:v>
                </c:pt>
                <c:pt idx="178">
                  <c:v>2023</c:v>
                </c:pt>
                <c:pt idx="179">
                  <c:v>2024</c:v>
                </c:pt>
                <c:pt idx="180">
                  <c:v>2022</c:v>
                </c:pt>
                <c:pt idx="181">
                  <c:v>2022</c:v>
                </c:pt>
                <c:pt idx="182">
                  <c:v>2022</c:v>
                </c:pt>
                <c:pt idx="183">
                  <c:v>2022</c:v>
                </c:pt>
                <c:pt idx="184">
                  <c:v>2022</c:v>
                </c:pt>
                <c:pt idx="185">
                  <c:v>2022</c:v>
                </c:pt>
                <c:pt idx="186">
                  <c:v>2023</c:v>
                </c:pt>
                <c:pt idx="187">
                  <c:v>2021</c:v>
                </c:pt>
                <c:pt idx="188">
                  <c:v>2022</c:v>
                </c:pt>
                <c:pt idx="189">
                  <c:v>2022</c:v>
                </c:pt>
                <c:pt idx="190">
                  <c:v>2022</c:v>
                </c:pt>
                <c:pt idx="191">
                  <c:v>2022</c:v>
                </c:pt>
                <c:pt idx="192">
                  <c:v>2023</c:v>
                </c:pt>
                <c:pt idx="193">
                  <c:v>2021</c:v>
                </c:pt>
                <c:pt idx="194">
                  <c:v>2022</c:v>
                </c:pt>
                <c:pt idx="195">
                  <c:v>2022</c:v>
                </c:pt>
                <c:pt idx="196">
                  <c:v>2021</c:v>
                </c:pt>
                <c:pt idx="197">
                  <c:v>2022</c:v>
                </c:pt>
                <c:pt idx="198">
                  <c:v>2022</c:v>
                </c:pt>
                <c:pt idx="199">
                  <c:v>2021</c:v>
                </c:pt>
                <c:pt idx="200">
                  <c:v>2021</c:v>
                </c:pt>
                <c:pt idx="201">
                  <c:v>2024</c:v>
                </c:pt>
                <c:pt idx="202">
                  <c:v>2024</c:v>
                </c:pt>
                <c:pt idx="203">
                  <c:v>2024</c:v>
                </c:pt>
                <c:pt idx="204">
                  <c:v>2024</c:v>
                </c:pt>
                <c:pt idx="205">
                  <c:v>2024</c:v>
                </c:pt>
                <c:pt idx="206">
                  <c:v>2024</c:v>
                </c:pt>
                <c:pt idx="207">
                  <c:v>2024</c:v>
                </c:pt>
                <c:pt idx="208">
                  <c:v>2024</c:v>
                </c:pt>
                <c:pt idx="209">
                  <c:v>2024</c:v>
                </c:pt>
                <c:pt idx="210">
                  <c:v>2024</c:v>
                </c:pt>
                <c:pt idx="211">
                  <c:v>2024</c:v>
                </c:pt>
                <c:pt idx="212">
                  <c:v>2024</c:v>
                </c:pt>
                <c:pt idx="213">
                  <c:v>2024</c:v>
                </c:pt>
                <c:pt idx="214">
                  <c:v>2024</c:v>
                </c:pt>
                <c:pt idx="215">
                  <c:v>2024</c:v>
                </c:pt>
                <c:pt idx="216">
                  <c:v>2024</c:v>
                </c:pt>
                <c:pt idx="217">
                  <c:v>2024</c:v>
                </c:pt>
                <c:pt idx="218">
                  <c:v>2024</c:v>
                </c:pt>
                <c:pt idx="219">
                  <c:v>2024</c:v>
                </c:pt>
                <c:pt idx="220">
                  <c:v>2024</c:v>
                </c:pt>
                <c:pt idx="221">
                  <c:v>2024</c:v>
                </c:pt>
                <c:pt idx="222">
                  <c:v>2024</c:v>
                </c:pt>
                <c:pt idx="223">
                  <c:v>2024</c:v>
                </c:pt>
                <c:pt idx="224">
                  <c:v>2024</c:v>
                </c:pt>
                <c:pt idx="225">
                  <c:v>2024</c:v>
                </c:pt>
                <c:pt idx="226">
                  <c:v>2024</c:v>
                </c:pt>
                <c:pt idx="227">
                  <c:v>2024</c:v>
                </c:pt>
                <c:pt idx="228">
                  <c:v>2024</c:v>
                </c:pt>
                <c:pt idx="229">
                  <c:v>2024</c:v>
                </c:pt>
                <c:pt idx="230">
                  <c:v>2024</c:v>
                </c:pt>
                <c:pt idx="231">
                  <c:v>2024</c:v>
                </c:pt>
                <c:pt idx="232">
                  <c:v>2024</c:v>
                </c:pt>
                <c:pt idx="233">
                  <c:v>2024</c:v>
                </c:pt>
                <c:pt idx="234">
                  <c:v>2024</c:v>
                </c:pt>
                <c:pt idx="235">
                  <c:v>2024</c:v>
                </c:pt>
                <c:pt idx="236">
                  <c:v>2024</c:v>
                </c:pt>
                <c:pt idx="237">
                  <c:v>2024</c:v>
                </c:pt>
                <c:pt idx="238">
                  <c:v>2024</c:v>
                </c:pt>
                <c:pt idx="239">
                  <c:v>2024</c:v>
                </c:pt>
                <c:pt idx="240">
                  <c:v>2024</c:v>
                </c:pt>
                <c:pt idx="241">
                  <c:v>2024</c:v>
                </c:pt>
                <c:pt idx="242">
                  <c:v>2024</c:v>
                </c:pt>
                <c:pt idx="243">
                  <c:v>2024</c:v>
                </c:pt>
                <c:pt idx="244">
                  <c:v>2024</c:v>
                </c:pt>
                <c:pt idx="245">
                  <c:v>2024</c:v>
                </c:pt>
                <c:pt idx="246">
                  <c:v>2024</c:v>
                </c:pt>
                <c:pt idx="247">
                  <c:v>2024</c:v>
                </c:pt>
                <c:pt idx="248">
                  <c:v>2024</c:v>
                </c:pt>
                <c:pt idx="249">
                  <c:v>2024</c:v>
                </c:pt>
                <c:pt idx="250">
                  <c:v>2024</c:v>
                </c:pt>
                <c:pt idx="251">
                  <c:v>2024</c:v>
                </c:pt>
                <c:pt idx="252">
                  <c:v>2024</c:v>
                </c:pt>
                <c:pt idx="253">
                  <c:v>2024</c:v>
                </c:pt>
                <c:pt idx="254">
                  <c:v>2024</c:v>
                </c:pt>
                <c:pt idx="255">
                  <c:v>2024</c:v>
                </c:pt>
                <c:pt idx="256">
                  <c:v>2024</c:v>
                </c:pt>
                <c:pt idx="257">
                  <c:v>2024</c:v>
                </c:pt>
                <c:pt idx="258">
                  <c:v>2024</c:v>
                </c:pt>
                <c:pt idx="259">
                  <c:v>2024</c:v>
                </c:pt>
                <c:pt idx="260">
                  <c:v>2024</c:v>
                </c:pt>
                <c:pt idx="261">
                  <c:v>2024</c:v>
                </c:pt>
                <c:pt idx="262">
                  <c:v>2024</c:v>
                </c:pt>
                <c:pt idx="263">
                  <c:v>2024</c:v>
                </c:pt>
                <c:pt idx="264">
                  <c:v>2024</c:v>
                </c:pt>
                <c:pt idx="265">
                  <c:v>2024</c:v>
                </c:pt>
                <c:pt idx="266">
                  <c:v>2024</c:v>
                </c:pt>
                <c:pt idx="267">
                  <c:v>2024</c:v>
                </c:pt>
                <c:pt idx="268">
                  <c:v>2024</c:v>
                </c:pt>
                <c:pt idx="269">
                  <c:v>2024</c:v>
                </c:pt>
                <c:pt idx="270">
                  <c:v>2024</c:v>
                </c:pt>
                <c:pt idx="271">
                  <c:v>2024</c:v>
                </c:pt>
                <c:pt idx="272">
                  <c:v>2024</c:v>
                </c:pt>
                <c:pt idx="273">
                  <c:v>2024</c:v>
                </c:pt>
                <c:pt idx="274">
                  <c:v>2024</c:v>
                </c:pt>
                <c:pt idx="275">
                  <c:v>2024</c:v>
                </c:pt>
                <c:pt idx="276">
                  <c:v>2024</c:v>
                </c:pt>
                <c:pt idx="277">
                  <c:v>2024</c:v>
                </c:pt>
                <c:pt idx="278">
                  <c:v>2024</c:v>
                </c:pt>
                <c:pt idx="279">
                  <c:v>2024</c:v>
                </c:pt>
                <c:pt idx="280">
                  <c:v>2024</c:v>
                </c:pt>
                <c:pt idx="281">
                  <c:v>2024</c:v>
                </c:pt>
                <c:pt idx="282">
                  <c:v>2024</c:v>
                </c:pt>
                <c:pt idx="283">
                  <c:v>2024</c:v>
                </c:pt>
                <c:pt idx="284">
                  <c:v>2024</c:v>
                </c:pt>
                <c:pt idx="285">
                  <c:v>2023</c:v>
                </c:pt>
                <c:pt idx="286">
                  <c:v>2024</c:v>
                </c:pt>
                <c:pt idx="287">
                  <c:v>2024</c:v>
                </c:pt>
                <c:pt idx="288">
                  <c:v>2023</c:v>
                </c:pt>
                <c:pt idx="289">
                  <c:v>2024</c:v>
                </c:pt>
                <c:pt idx="290">
                  <c:v>2024</c:v>
                </c:pt>
                <c:pt idx="291">
                  <c:v>2024</c:v>
                </c:pt>
                <c:pt idx="292">
                  <c:v>2023</c:v>
                </c:pt>
                <c:pt idx="293">
                  <c:v>2024</c:v>
                </c:pt>
                <c:pt idx="294">
                  <c:v>2024</c:v>
                </c:pt>
                <c:pt idx="295">
                  <c:v>2024</c:v>
                </c:pt>
                <c:pt idx="296">
                  <c:v>2023</c:v>
                </c:pt>
                <c:pt idx="297">
                  <c:v>2024</c:v>
                </c:pt>
                <c:pt idx="298">
                  <c:v>2024</c:v>
                </c:pt>
                <c:pt idx="299">
                  <c:v>2024</c:v>
                </c:pt>
                <c:pt idx="300">
                  <c:v>2023</c:v>
                </c:pt>
                <c:pt idx="301">
                  <c:v>2024</c:v>
                </c:pt>
                <c:pt idx="302">
                  <c:v>2024</c:v>
                </c:pt>
                <c:pt idx="303">
                  <c:v>2022</c:v>
                </c:pt>
                <c:pt idx="304">
                  <c:v>2022</c:v>
                </c:pt>
                <c:pt idx="305">
                  <c:v>2018</c:v>
                </c:pt>
                <c:pt idx="306">
                  <c:v>2016</c:v>
                </c:pt>
                <c:pt idx="307">
                  <c:v>2018</c:v>
                </c:pt>
                <c:pt idx="308">
                  <c:v>2016</c:v>
                </c:pt>
                <c:pt idx="309">
                  <c:v>2017</c:v>
                </c:pt>
                <c:pt idx="310">
                  <c:v>2017</c:v>
                </c:pt>
                <c:pt idx="311">
                  <c:v>2017</c:v>
                </c:pt>
                <c:pt idx="312">
                  <c:v>2015</c:v>
                </c:pt>
                <c:pt idx="313">
                  <c:v>2015</c:v>
                </c:pt>
                <c:pt idx="314">
                  <c:v>2014</c:v>
                </c:pt>
                <c:pt idx="315">
                  <c:v>2008</c:v>
                </c:pt>
                <c:pt idx="316">
                  <c:v>2024</c:v>
                </c:pt>
                <c:pt idx="317">
                  <c:v>2023</c:v>
                </c:pt>
                <c:pt idx="318">
                  <c:v>2024</c:v>
                </c:pt>
                <c:pt idx="319">
                  <c:v>2023</c:v>
                </c:pt>
                <c:pt idx="320">
                  <c:v>2022</c:v>
                </c:pt>
                <c:pt idx="321">
                  <c:v>2024</c:v>
                </c:pt>
                <c:pt idx="322">
                  <c:v>2023</c:v>
                </c:pt>
                <c:pt idx="323">
                  <c:v>2022</c:v>
                </c:pt>
                <c:pt idx="324">
                  <c:v>2024</c:v>
                </c:pt>
                <c:pt idx="325">
                  <c:v>2023</c:v>
                </c:pt>
                <c:pt idx="326">
                  <c:v>2022</c:v>
                </c:pt>
                <c:pt idx="327">
                  <c:v>2024</c:v>
                </c:pt>
                <c:pt idx="328">
                  <c:v>2023</c:v>
                </c:pt>
                <c:pt idx="329">
                  <c:v>2022</c:v>
                </c:pt>
                <c:pt idx="330">
                  <c:v>2024</c:v>
                </c:pt>
                <c:pt idx="331">
                  <c:v>2023</c:v>
                </c:pt>
                <c:pt idx="332">
                  <c:v>2022</c:v>
                </c:pt>
                <c:pt idx="333">
                  <c:v>2024</c:v>
                </c:pt>
                <c:pt idx="334">
                  <c:v>2023</c:v>
                </c:pt>
                <c:pt idx="335">
                  <c:v>2022</c:v>
                </c:pt>
                <c:pt idx="336">
                  <c:v>2024</c:v>
                </c:pt>
                <c:pt idx="337">
                  <c:v>2023</c:v>
                </c:pt>
                <c:pt idx="338">
                  <c:v>2022</c:v>
                </c:pt>
                <c:pt idx="339">
                  <c:v>2024</c:v>
                </c:pt>
                <c:pt idx="340">
                  <c:v>2023</c:v>
                </c:pt>
                <c:pt idx="341">
                  <c:v>2022</c:v>
                </c:pt>
                <c:pt idx="342">
                  <c:v>2024</c:v>
                </c:pt>
                <c:pt idx="343">
                  <c:v>2023</c:v>
                </c:pt>
                <c:pt idx="344">
                  <c:v>2022</c:v>
                </c:pt>
                <c:pt idx="345">
                  <c:v>2022</c:v>
                </c:pt>
                <c:pt idx="346">
                  <c:v>2022</c:v>
                </c:pt>
                <c:pt idx="347">
                  <c:v>2022</c:v>
                </c:pt>
                <c:pt idx="348">
                  <c:v>2022</c:v>
                </c:pt>
                <c:pt idx="349">
                  <c:v>2022</c:v>
                </c:pt>
                <c:pt idx="350">
                  <c:v>2022</c:v>
                </c:pt>
                <c:pt idx="351">
                  <c:v>2022</c:v>
                </c:pt>
                <c:pt idx="352">
                  <c:v>2022</c:v>
                </c:pt>
                <c:pt idx="353">
                  <c:v>2022</c:v>
                </c:pt>
                <c:pt idx="354">
                  <c:v>2020</c:v>
                </c:pt>
                <c:pt idx="355">
                  <c:v>2022</c:v>
                </c:pt>
                <c:pt idx="356">
                  <c:v>2022</c:v>
                </c:pt>
                <c:pt idx="357">
                  <c:v>2020</c:v>
                </c:pt>
                <c:pt idx="358">
                  <c:v>2022</c:v>
                </c:pt>
                <c:pt idx="359">
                  <c:v>2022</c:v>
                </c:pt>
                <c:pt idx="360">
                  <c:v>2020</c:v>
                </c:pt>
                <c:pt idx="361">
                  <c:v>2022</c:v>
                </c:pt>
                <c:pt idx="362">
                  <c:v>2022</c:v>
                </c:pt>
                <c:pt idx="363">
                  <c:v>2020</c:v>
                </c:pt>
                <c:pt idx="364">
                  <c:v>2020</c:v>
                </c:pt>
                <c:pt idx="365">
                  <c:v>2020</c:v>
                </c:pt>
                <c:pt idx="366">
                  <c:v>2020</c:v>
                </c:pt>
                <c:pt idx="367">
                  <c:v>2022</c:v>
                </c:pt>
                <c:pt idx="368">
                  <c:v>2022</c:v>
                </c:pt>
                <c:pt idx="369">
                  <c:v>2022</c:v>
                </c:pt>
                <c:pt idx="370">
                  <c:v>2022</c:v>
                </c:pt>
                <c:pt idx="371">
                  <c:v>2020</c:v>
                </c:pt>
                <c:pt idx="372">
                  <c:v>2022</c:v>
                </c:pt>
                <c:pt idx="373">
                  <c:v>2022</c:v>
                </c:pt>
                <c:pt idx="374">
                  <c:v>2022</c:v>
                </c:pt>
                <c:pt idx="375">
                  <c:v>2022</c:v>
                </c:pt>
                <c:pt idx="376">
                  <c:v>2020</c:v>
                </c:pt>
                <c:pt idx="377">
                  <c:v>2020</c:v>
                </c:pt>
                <c:pt idx="378">
                  <c:v>2022</c:v>
                </c:pt>
                <c:pt idx="379">
                  <c:v>2022</c:v>
                </c:pt>
                <c:pt idx="380">
                  <c:v>2022</c:v>
                </c:pt>
                <c:pt idx="381">
                  <c:v>2022</c:v>
                </c:pt>
                <c:pt idx="382">
                  <c:v>2022</c:v>
                </c:pt>
                <c:pt idx="383">
                  <c:v>2024</c:v>
                </c:pt>
                <c:pt idx="384">
                  <c:v>2023</c:v>
                </c:pt>
                <c:pt idx="385">
                  <c:v>2022</c:v>
                </c:pt>
                <c:pt idx="386">
                  <c:v>2023</c:v>
                </c:pt>
                <c:pt idx="387">
                  <c:v>2024</c:v>
                </c:pt>
                <c:pt idx="388">
                  <c:v>2024</c:v>
                </c:pt>
                <c:pt idx="389">
                  <c:v>2022</c:v>
                </c:pt>
                <c:pt idx="390">
                  <c:v>2020</c:v>
                </c:pt>
                <c:pt idx="391">
                  <c:v>2020</c:v>
                </c:pt>
                <c:pt idx="392">
                  <c:v>2022</c:v>
                </c:pt>
                <c:pt idx="393">
                  <c:v>2020</c:v>
                </c:pt>
                <c:pt idx="394">
                  <c:v>2022</c:v>
                </c:pt>
                <c:pt idx="395">
                  <c:v>2022</c:v>
                </c:pt>
                <c:pt idx="396">
                  <c:v>2022</c:v>
                </c:pt>
                <c:pt idx="397">
                  <c:v>2022</c:v>
                </c:pt>
                <c:pt idx="398">
                  <c:v>2024</c:v>
                </c:pt>
                <c:pt idx="399">
                  <c:v>2023</c:v>
                </c:pt>
                <c:pt idx="400">
                  <c:v>2023</c:v>
                </c:pt>
                <c:pt idx="401">
                  <c:v>2022</c:v>
                </c:pt>
                <c:pt idx="402">
                  <c:v>2023</c:v>
                </c:pt>
                <c:pt idx="403">
                  <c:v>2024</c:v>
                </c:pt>
                <c:pt idx="404">
                  <c:v>2024</c:v>
                </c:pt>
                <c:pt idx="405">
                  <c:v>2022</c:v>
                </c:pt>
                <c:pt idx="406">
                  <c:v>2020</c:v>
                </c:pt>
                <c:pt idx="407">
                  <c:v>2020</c:v>
                </c:pt>
                <c:pt idx="408">
                  <c:v>2020</c:v>
                </c:pt>
                <c:pt idx="409">
                  <c:v>2022</c:v>
                </c:pt>
                <c:pt idx="410">
                  <c:v>2020</c:v>
                </c:pt>
                <c:pt idx="411">
                  <c:v>2022</c:v>
                </c:pt>
                <c:pt idx="412">
                  <c:v>2022</c:v>
                </c:pt>
                <c:pt idx="413">
                  <c:v>2022</c:v>
                </c:pt>
                <c:pt idx="414">
                  <c:v>2022</c:v>
                </c:pt>
                <c:pt idx="415">
                  <c:v>2024</c:v>
                </c:pt>
                <c:pt idx="416">
                  <c:v>2023</c:v>
                </c:pt>
                <c:pt idx="417">
                  <c:v>2023</c:v>
                </c:pt>
                <c:pt idx="418">
                  <c:v>2022</c:v>
                </c:pt>
                <c:pt idx="419">
                  <c:v>2023</c:v>
                </c:pt>
                <c:pt idx="420">
                  <c:v>2024</c:v>
                </c:pt>
                <c:pt idx="421">
                  <c:v>2024</c:v>
                </c:pt>
                <c:pt idx="422">
                  <c:v>2022</c:v>
                </c:pt>
                <c:pt idx="423">
                  <c:v>2020</c:v>
                </c:pt>
                <c:pt idx="424">
                  <c:v>2020</c:v>
                </c:pt>
                <c:pt idx="425">
                  <c:v>2020</c:v>
                </c:pt>
                <c:pt idx="426">
                  <c:v>2022</c:v>
                </c:pt>
                <c:pt idx="427">
                  <c:v>2020</c:v>
                </c:pt>
                <c:pt idx="428">
                  <c:v>2020</c:v>
                </c:pt>
                <c:pt idx="429">
                  <c:v>2022</c:v>
                </c:pt>
                <c:pt idx="430">
                  <c:v>2022</c:v>
                </c:pt>
                <c:pt idx="431">
                  <c:v>2024</c:v>
                </c:pt>
                <c:pt idx="432">
                  <c:v>2023</c:v>
                </c:pt>
                <c:pt idx="433">
                  <c:v>2023</c:v>
                </c:pt>
                <c:pt idx="434">
                  <c:v>2023</c:v>
                </c:pt>
                <c:pt idx="435">
                  <c:v>2024</c:v>
                </c:pt>
                <c:pt idx="436">
                  <c:v>2024</c:v>
                </c:pt>
                <c:pt idx="437">
                  <c:v>2022</c:v>
                </c:pt>
                <c:pt idx="438">
                  <c:v>2020</c:v>
                </c:pt>
                <c:pt idx="439">
                  <c:v>2020</c:v>
                </c:pt>
                <c:pt idx="440">
                  <c:v>2020</c:v>
                </c:pt>
                <c:pt idx="441">
                  <c:v>2022</c:v>
                </c:pt>
                <c:pt idx="442">
                  <c:v>2020</c:v>
                </c:pt>
                <c:pt idx="443">
                  <c:v>2020</c:v>
                </c:pt>
                <c:pt idx="444">
                  <c:v>2022</c:v>
                </c:pt>
                <c:pt idx="445">
                  <c:v>2022</c:v>
                </c:pt>
                <c:pt idx="446">
                  <c:v>2024</c:v>
                </c:pt>
                <c:pt idx="447">
                  <c:v>2023</c:v>
                </c:pt>
                <c:pt idx="448">
                  <c:v>2023</c:v>
                </c:pt>
                <c:pt idx="449">
                  <c:v>2023</c:v>
                </c:pt>
                <c:pt idx="450">
                  <c:v>2024</c:v>
                </c:pt>
                <c:pt idx="451">
                  <c:v>2024</c:v>
                </c:pt>
                <c:pt idx="452">
                  <c:v>2022</c:v>
                </c:pt>
                <c:pt idx="453">
                  <c:v>2020</c:v>
                </c:pt>
                <c:pt idx="454">
                  <c:v>2020</c:v>
                </c:pt>
                <c:pt idx="455">
                  <c:v>2020</c:v>
                </c:pt>
                <c:pt idx="456">
                  <c:v>2022</c:v>
                </c:pt>
                <c:pt idx="457">
                  <c:v>2020</c:v>
                </c:pt>
                <c:pt idx="458">
                  <c:v>2024</c:v>
                </c:pt>
                <c:pt idx="459">
                  <c:v>2023</c:v>
                </c:pt>
                <c:pt idx="460">
                  <c:v>2023</c:v>
                </c:pt>
                <c:pt idx="461">
                  <c:v>2023</c:v>
                </c:pt>
                <c:pt idx="462">
                  <c:v>2024</c:v>
                </c:pt>
                <c:pt idx="463">
                  <c:v>2022</c:v>
                </c:pt>
                <c:pt idx="464">
                  <c:v>2020</c:v>
                </c:pt>
                <c:pt idx="465">
                  <c:v>2020</c:v>
                </c:pt>
                <c:pt idx="466">
                  <c:v>2020</c:v>
                </c:pt>
                <c:pt idx="467">
                  <c:v>2020</c:v>
                </c:pt>
                <c:pt idx="468">
                  <c:v>2022</c:v>
                </c:pt>
                <c:pt idx="469">
                  <c:v>2023</c:v>
                </c:pt>
                <c:pt idx="470">
                  <c:v>2020</c:v>
                </c:pt>
                <c:pt idx="471">
                  <c:v>2020</c:v>
                </c:pt>
                <c:pt idx="472">
                  <c:v>2020</c:v>
                </c:pt>
                <c:pt idx="473">
                  <c:v>2020</c:v>
                </c:pt>
                <c:pt idx="474">
                  <c:v>2020</c:v>
                </c:pt>
                <c:pt idx="475">
                  <c:v>2020</c:v>
                </c:pt>
                <c:pt idx="476">
                  <c:v>2022</c:v>
                </c:pt>
                <c:pt idx="477">
                  <c:v>2023</c:v>
                </c:pt>
                <c:pt idx="478">
                  <c:v>2022</c:v>
                </c:pt>
                <c:pt idx="479">
                  <c:v>2022</c:v>
                </c:pt>
                <c:pt idx="480">
                  <c:v>2023</c:v>
                </c:pt>
                <c:pt idx="481">
                  <c:v>2022</c:v>
                </c:pt>
                <c:pt idx="482">
                  <c:v>2022</c:v>
                </c:pt>
                <c:pt idx="483">
                  <c:v>2023</c:v>
                </c:pt>
                <c:pt idx="484">
                  <c:v>2022</c:v>
                </c:pt>
                <c:pt idx="485">
                  <c:v>2022</c:v>
                </c:pt>
                <c:pt idx="486">
                  <c:v>2023</c:v>
                </c:pt>
                <c:pt idx="487">
                  <c:v>2022</c:v>
                </c:pt>
                <c:pt idx="488">
                  <c:v>2022</c:v>
                </c:pt>
                <c:pt idx="489">
                  <c:v>2023</c:v>
                </c:pt>
                <c:pt idx="490">
                  <c:v>2022</c:v>
                </c:pt>
                <c:pt idx="491">
                  <c:v>2022</c:v>
                </c:pt>
                <c:pt idx="492">
                  <c:v>2020</c:v>
                </c:pt>
                <c:pt idx="493">
                  <c:v>2020</c:v>
                </c:pt>
                <c:pt idx="494">
                  <c:v>2020</c:v>
                </c:pt>
                <c:pt idx="495">
                  <c:v>2020</c:v>
                </c:pt>
                <c:pt idx="496">
                  <c:v>2020</c:v>
                </c:pt>
                <c:pt idx="497">
                  <c:v>2020</c:v>
                </c:pt>
                <c:pt idx="498">
                  <c:v>2020</c:v>
                </c:pt>
                <c:pt idx="499">
                  <c:v>2020</c:v>
                </c:pt>
                <c:pt idx="500">
                  <c:v>2020</c:v>
                </c:pt>
                <c:pt idx="501">
                  <c:v>2020</c:v>
                </c:pt>
                <c:pt idx="502">
                  <c:v>2020</c:v>
                </c:pt>
                <c:pt idx="503">
                  <c:v>2020</c:v>
                </c:pt>
                <c:pt idx="504">
                  <c:v>2020</c:v>
                </c:pt>
                <c:pt idx="505">
                  <c:v>2020</c:v>
                </c:pt>
                <c:pt idx="506">
                  <c:v>2020</c:v>
                </c:pt>
                <c:pt idx="507">
                  <c:v>2020</c:v>
                </c:pt>
                <c:pt idx="508">
                  <c:v>2020</c:v>
                </c:pt>
                <c:pt idx="509">
                  <c:v>2020</c:v>
                </c:pt>
                <c:pt idx="510">
                  <c:v>2020</c:v>
                </c:pt>
                <c:pt idx="511">
                  <c:v>2020</c:v>
                </c:pt>
                <c:pt idx="512">
                  <c:v>2020</c:v>
                </c:pt>
                <c:pt idx="513">
                  <c:v>2020</c:v>
                </c:pt>
                <c:pt idx="514">
                  <c:v>2020</c:v>
                </c:pt>
                <c:pt idx="515">
                  <c:v>2020</c:v>
                </c:pt>
                <c:pt idx="516">
                  <c:v>2020</c:v>
                </c:pt>
                <c:pt idx="517">
                  <c:v>2020</c:v>
                </c:pt>
                <c:pt idx="518">
                  <c:v>2020</c:v>
                </c:pt>
                <c:pt idx="519">
                  <c:v>2020</c:v>
                </c:pt>
                <c:pt idx="520">
                  <c:v>2020</c:v>
                </c:pt>
                <c:pt idx="521">
                  <c:v>2020</c:v>
                </c:pt>
                <c:pt idx="522">
                  <c:v>2020</c:v>
                </c:pt>
                <c:pt idx="523">
                  <c:v>2020</c:v>
                </c:pt>
                <c:pt idx="524">
                  <c:v>2020</c:v>
                </c:pt>
                <c:pt idx="525">
                  <c:v>2020</c:v>
                </c:pt>
                <c:pt idx="526">
                  <c:v>2020</c:v>
                </c:pt>
                <c:pt idx="527">
                  <c:v>2020</c:v>
                </c:pt>
                <c:pt idx="528">
                  <c:v>2022</c:v>
                </c:pt>
                <c:pt idx="529">
                  <c:v>2020</c:v>
                </c:pt>
                <c:pt idx="530">
                  <c:v>2020</c:v>
                </c:pt>
                <c:pt idx="531">
                  <c:v>2022</c:v>
                </c:pt>
                <c:pt idx="532">
                  <c:v>2022</c:v>
                </c:pt>
                <c:pt idx="533">
                  <c:v>2020</c:v>
                </c:pt>
                <c:pt idx="534">
                  <c:v>2020</c:v>
                </c:pt>
                <c:pt idx="535">
                  <c:v>2020</c:v>
                </c:pt>
                <c:pt idx="536">
                  <c:v>2020</c:v>
                </c:pt>
                <c:pt idx="537">
                  <c:v>2022</c:v>
                </c:pt>
                <c:pt idx="538">
                  <c:v>2022</c:v>
                </c:pt>
                <c:pt idx="539">
                  <c:v>2020</c:v>
                </c:pt>
                <c:pt idx="540">
                  <c:v>2020</c:v>
                </c:pt>
                <c:pt idx="541">
                  <c:v>2020</c:v>
                </c:pt>
                <c:pt idx="542">
                  <c:v>2020</c:v>
                </c:pt>
                <c:pt idx="543">
                  <c:v>2020</c:v>
                </c:pt>
                <c:pt idx="544">
                  <c:v>2020</c:v>
                </c:pt>
                <c:pt idx="545">
                  <c:v>2020</c:v>
                </c:pt>
                <c:pt idx="546">
                  <c:v>2022</c:v>
                </c:pt>
                <c:pt idx="547">
                  <c:v>2020</c:v>
                </c:pt>
                <c:pt idx="548">
                  <c:v>2022</c:v>
                </c:pt>
                <c:pt idx="549">
                  <c:v>2020</c:v>
                </c:pt>
                <c:pt idx="550">
                  <c:v>2020</c:v>
                </c:pt>
                <c:pt idx="551">
                  <c:v>2020</c:v>
                </c:pt>
                <c:pt idx="552">
                  <c:v>2020</c:v>
                </c:pt>
                <c:pt idx="553">
                  <c:v>2020</c:v>
                </c:pt>
                <c:pt idx="554">
                  <c:v>2022</c:v>
                </c:pt>
                <c:pt idx="555">
                  <c:v>2020</c:v>
                </c:pt>
                <c:pt idx="556">
                  <c:v>2020</c:v>
                </c:pt>
                <c:pt idx="557">
                  <c:v>2022</c:v>
                </c:pt>
                <c:pt idx="558">
                  <c:v>2020</c:v>
                </c:pt>
                <c:pt idx="559">
                  <c:v>2020</c:v>
                </c:pt>
                <c:pt idx="560">
                  <c:v>2020</c:v>
                </c:pt>
                <c:pt idx="561">
                  <c:v>2020</c:v>
                </c:pt>
                <c:pt idx="562">
                  <c:v>2020</c:v>
                </c:pt>
                <c:pt idx="563">
                  <c:v>2020</c:v>
                </c:pt>
                <c:pt idx="564">
                  <c:v>2020</c:v>
                </c:pt>
                <c:pt idx="565">
                  <c:v>2021</c:v>
                </c:pt>
                <c:pt idx="566">
                  <c:v>2022</c:v>
                </c:pt>
                <c:pt idx="567">
                  <c:v>2020</c:v>
                </c:pt>
                <c:pt idx="568">
                  <c:v>2020</c:v>
                </c:pt>
                <c:pt idx="569">
                  <c:v>2020</c:v>
                </c:pt>
                <c:pt idx="570">
                  <c:v>2020</c:v>
                </c:pt>
                <c:pt idx="571">
                  <c:v>2020</c:v>
                </c:pt>
                <c:pt idx="572">
                  <c:v>2020</c:v>
                </c:pt>
                <c:pt idx="573">
                  <c:v>2021</c:v>
                </c:pt>
                <c:pt idx="574">
                  <c:v>2020</c:v>
                </c:pt>
                <c:pt idx="575">
                  <c:v>2020</c:v>
                </c:pt>
                <c:pt idx="576">
                  <c:v>2020</c:v>
                </c:pt>
                <c:pt idx="577">
                  <c:v>2020</c:v>
                </c:pt>
                <c:pt idx="578">
                  <c:v>2020</c:v>
                </c:pt>
                <c:pt idx="579">
                  <c:v>2021</c:v>
                </c:pt>
                <c:pt idx="580">
                  <c:v>2021</c:v>
                </c:pt>
                <c:pt idx="581">
                  <c:v>2020</c:v>
                </c:pt>
                <c:pt idx="582">
                  <c:v>2020</c:v>
                </c:pt>
                <c:pt idx="583">
                  <c:v>2020</c:v>
                </c:pt>
                <c:pt idx="584">
                  <c:v>2021</c:v>
                </c:pt>
                <c:pt idx="585">
                  <c:v>2021</c:v>
                </c:pt>
                <c:pt idx="586">
                  <c:v>2021</c:v>
                </c:pt>
                <c:pt idx="587">
                  <c:v>2020</c:v>
                </c:pt>
                <c:pt idx="588">
                  <c:v>2021</c:v>
                </c:pt>
                <c:pt idx="590">
                  <c:v>2020</c:v>
                </c:pt>
                <c:pt idx="591">
                  <c:v>2020</c:v>
                </c:pt>
                <c:pt idx="593">
                  <c:v>2017</c:v>
                </c:pt>
                <c:pt idx="594">
                  <c:v>2020</c:v>
                </c:pt>
                <c:pt idx="595">
                  <c:v>2020</c:v>
                </c:pt>
                <c:pt idx="597">
                  <c:v>2017</c:v>
                </c:pt>
                <c:pt idx="598">
                  <c:v>2020</c:v>
                </c:pt>
                <c:pt idx="599">
                  <c:v>2020</c:v>
                </c:pt>
                <c:pt idx="601">
                  <c:v>2017</c:v>
                </c:pt>
                <c:pt idx="602">
                  <c:v>2020</c:v>
                </c:pt>
                <c:pt idx="603">
                  <c:v>2020</c:v>
                </c:pt>
                <c:pt idx="605">
                  <c:v>2017</c:v>
                </c:pt>
                <c:pt idx="606">
                  <c:v>2020</c:v>
                </c:pt>
                <c:pt idx="607">
                  <c:v>2017</c:v>
                </c:pt>
                <c:pt idx="608">
                  <c:v>2019</c:v>
                </c:pt>
                <c:pt idx="609">
                  <c:v>2019</c:v>
                </c:pt>
                <c:pt idx="610">
                  <c:v>2019</c:v>
                </c:pt>
                <c:pt idx="611">
                  <c:v>2019</c:v>
                </c:pt>
                <c:pt idx="612">
                  <c:v>2019</c:v>
                </c:pt>
                <c:pt idx="613">
                  <c:v>2019</c:v>
                </c:pt>
                <c:pt idx="614">
                  <c:v>2019</c:v>
                </c:pt>
                <c:pt idx="615">
                  <c:v>2019</c:v>
                </c:pt>
                <c:pt idx="616">
                  <c:v>2019</c:v>
                </c:pt>
                <c:pt idx="617">
                  <c:v>2019</c:v>
                </c:pt>
                <c:pt idx="618">
                  <c:v>2019</c:v>
                </c:pt>
                <c:pt idx="619">
                  <c:v>2024</c:v>
                </c:pt>
                <c:pt idx="620">
                  <c:v>2024</c:v>
                </c:pt>
                <c:pt idx="621">
                  <c:v>2024</c:v>
                </c:pt>
                <c:pt idx="622">
                  <c:v>2024</c:v>
                </c:pt>
                <c:pt idx="623">
                  <c:v>2024</c:v>
                </c:pt>
                <c:pt idx="624">
                  <c:v>2024</c:v>
                </c:pt>
                <c:pt idx="625">
                  <c:v>2024</c:v>
                </c:pt>
                <c:pt idx="626">
                  <c:v>2024</c:v>
                </c:pt>
                <c:pt idx="627">
                  <c:v>2024</c:v>
                </c:pt>
                <c:pt idx="628">
                  <c:v>2024</c:v>
                </c:pt>
                <c:pt idx="629">
                  <c:v>2024</c:v>
                </c:pt>
                <c:pt idx="630">
                  <c:v>2024</c:v>
                </c:pt>
                <c:pt idx="631">
                  <c:v>2024</c:v>
                </c:pt>
                <c:pt idx="632">
                  <c:v>2024</c:v>
                </c:pt>
                <c:pt idx="633">
                  <c:v>2024</c:v>
                </c:pt>
                <c:pt idx="634">
                  <c:v>2024</c:v>
                </c:pt>
                <c:pt idx="635">
                  <c:v>2024</c:v>
                </c:pt>
                <c:pt idx="636">
                  <c:v>2024</c:v>
                </c:pt>
                <c:pt idx="637">
                  <c:v>2024</c:v>
                </c:pt>
                <c:pt idx="638">
                  <c:v>2024</c:v>
                </c:pt>
                <c:pt idx="639">
                  <c:v>2024</c:v>
                </c:pt>
                <c:pt idx="640">
                  <c:v>2024</c:v>
                </c:pt>
                <c:pt idx="641">
                  <c:v>2024</c:v>
                </c:pt>
                <c:pt idx="642">
                  <c:v>2024</c:v>
                </c:pt>
                <c:pt idx="643">
                  <c:v>2024</c:v>
                </c:pt>
                <c:pt idx="644">
                  <c:v>2024</c:v>
                </c:pt>
                <c:pt idx="645">
                  <c:v>2024</c:v>
                </c:pt>
                <c:pt idx="646">
                  <c:v>2024</c:v>
                </c:pt>
                <c:pt idx="647">
                  <c:v>2024</c:v>
                </c:pt>
                <c:pt idx="648">
                  <c:v>2024</c:v>
                </c:pt>
                <c:pt idx="649">
                  <c:v>2024</c:v>
                </c:pt>
                <c:pt idx="650">
                  <c:v>2024</c:v>
                </c:pt>
                <c:pt idx="651">
                  <c:v>2024</c:v>
                </c:pt>
                <c:pt idx="652">
                  <c:v>2024</c:v>
                </c:pt>
                <c:pt idx="653">
                  <c:v>2024</c:v>
                </c:pt>
                <c:pt idx="654">
                  <c:v>2024</c:v>
                </c:pt>
                <c:pt idx="655">
                  <c:v>2024</c:v>
                </c:pt>
                <c:pt idx="656">
                  <c:v>2024</c:v>
                </c:pt>
                <c:pt idx="657">
                  <c:v>2024</c:v>
                </c:pt>
                <c:pt idx="658">
                  <c:v>2024</c:v>
                </c:pt>
                <c:pt idx="659">
                  <c:v>2024</c:v>
                </c:pt>
                <c:pt idx="660">
                  <c:v>2024</c:v>
                </c:pt>
                <c:pt idx="661">
                  <c:v>2024</c:v>
                </c:pt>
                <c:pt idx="662">
                  <c:v>2024</c:v>
                </c:pt>
                <c:pt idx="663">
                  <c:v>2024</c:v>
                </c:pt>
                <c:pt idx="664">
                  <c:v>2024</c:v>
                </c:pt>
                <c:pt idx="665">
                  <c:v>2024</c:v>
                </c:pt>
                <c:pt idx="666">
                  <c:v>2024</c:v>
                </c:pt>
                <c:pt idx="667">
                  <c:v>2024</c:v>
                </c:pt>
                <c:pt idx="668">
                  <c:v>2024</c:v>
                </c:pt>
                <c:pt idx="669">
                  <c:v>2024</c:v>
                </c:pt>
                <c:pt idx="670">
                  <c:v>2024</c:v>
                </c:pt>
                <c:pt idx="671">
                  <c:v>2024</c:v>
                </c:pt>
                <c:pt idx="672">
                  <c:v>2024</c:v>
                </c:pt>
                <c:pt idx="673">
                  <c:v>2023</c:v>
                </c:pt>
                <c:pt idx="674">
                  <c:v>2024</c:v>
                </c:pt>
                <c:pt idx="675">
                  <c:v>2024</c:v>
                </c:pt>
                <c:pt idx="676">
                  <c:v>2024</c:v>
                </c:pt>
                <c:pt idx="677">
                  <c:v>2024</c:v>
                </c:pt>
                <c:pt idx="678">
                  <c:v>2023</c:v>
                </c:pt>
                <c:pt idx="679">
                  <c:v>2024</c:v>
                </c:pt>
                <c:pt idx="680">
                  <c:v>2024</c:v>
                </c:pt>
                <c:pt idx="681">
                  <c:v>2024</c:v>
                </c:pt>
                <c:pt idx="682">
                  <c:v>2023</c:v>
                </c:pt>
                <c:pt idx="683">
                  <c:v>2024</c:v>
                </c:pt>
                <c:pt idx="684">
                  <c:v>2024</c:v>
                </c:pt>
                <c:pt idx="685">
                  <c:v>2024</c:v>
                </c:pt>
                <c:pt idx="686">
                  <c:v>2024</c:v>
                </c:pt>
                <c:pt idx="687">
                  <c:v>2023</c:v>
                </c:pt>
                <c:pt idx="688">
                  <c:v>2023</c:v>
                </c:pt>
                <c:pt idx="689">
                  <c:v>2024</c:v>
                </c:pt>
                <c:pt idx="690">
                  <c:v>2024</c:v>
                </c:pt>
                <c:pt idx="691">
                  <c:v>2024</c:v>
                </c:pt>
                <c:pt idx="692">
                  <c:v>2023</c:v>
                </c:pt>
                <c:pt idx="693">
                  <c:v>2024</c:v>
                </c:pt>
                <c:pt idx="694">
                  <c:v>2024</c:v>
                </c:pt>
                <c:pt idx="695">
                  <c:v>2024</c:v>
                </c:pt>
                <c:pt idx="696">
                  <c:v>2023</c:v>
                </c:pt>
                <c:pt idx="697">
                  <c:v>2023</c:v>
                </c:pt>
                <c:pt idx="698">
                  <c:v>2023</c:v>
                </c:pt>
                <c:pt idx="699">
                  <c:v>2024</c:v>
                </c:pt>
                <c:pt idx="700">
                  <c:v>2024</c:v>
                </c:pt>
                <c:pt idx="701">
                  <c:v>2024</c:v>
                </c:pt>
                <c:pt idx="703">
                  <c:v>2023</c:v>
                </c:pt>
                <c:pt idx="704">
                  <c:v>2024</c:v>
                </c:pt>
                <c:pt idx="705">
                  <c:v>2024</c:v>
                </c:pt>
                <c:pt idx="706">
                  <c:v>2024</c:v>
                </c:pt>
                <c:pt idx="707">
                  <c:v>2023</c:v>
                </c:pt>
                <c:pt idx="708">
                  <c:v>2023</c:v>
                </c:pt>
                <c:pt idx="709">
                  <c:v>2023</c:v>
                </c:pt>
                <c:pt idx="710">
                  <c:v>2024</c:v>
                </c:pt>
                <c:pt idx="711">
                  <c:v>2022</c:v>
                </c:pt>
                <c:pt idx="712">
                  <c:v>2024</c:v>
                </c:pt>
                <c:pt idx="713">
                  <c:v>2024</c:v>
                </c:pt>
                <c:pt idx="715">
                  <c:v>2024</c:v>
                </c:pt>
                <c:pt idx="716">
                  <c:v>2023</c:v>
                </c:pt>
                <c:pt idx="717">
                  <c:v>2023</c:v>
                </c:pt>
                <c:pt idx="718">
                  <c:v>2024</c:v>
                </c:pt>
                <c:pt idx="719">
                  <c:v>2022</c:v>
                </c:pt>
                <c:pt idx="720">
                  <c:v>2024</c:v>
                </c:pt>
                <c:pt idx="721">
                  <c:v>2024</c:v>
                </c:pt>
                <c:pt idx="723">
                  <c:v>2024</c:v>
                </c:pt>
                <c:pt idx="724">
                  <c:v>2023</c:v>
                </c:pt>
                <c:pt idx="725">
                  <c:v>2024</c:v>
                </c:pt>
                <c:pt idx="726">
                  <c:v>2022</c:v>
                </c:pt>
                <c:pt idx="727">
                  <c:v>2024</c:v>
                </c:pt>
                <c:pt idx="728">
                  <c:v>2024</c:v>
                </c:pt>
                <c:pt idx="729">
                  <c:v>2024</c:v>
                </c:pt>
                <c:pt idx="731">
                  <c:v>2023</c:v>
                </c:pt>
                <c:pt idx="732">
                  <c:v>2022</c:v>
                </c:pt>
                <c:pt idx="733">
                  <c:v>2024</c:v>
                </c:pt>
                <c:pt idx="734">
                  <c:v>2024</c:v>
                </c:pt>
                <c:pt idx="735">
                  <c:v>2024</c:v>
                </c:pt>
                <c:pt idx="736">
                  <c:v>2018</c:v>
                </c:pt>
                <c:pt idx="738">
                  <c:v>2023</c:v>
                </c:pt>
                <c:pt idx="739">
                  <c:v>2024</c:v>
                </c:pt>
                <c:pt idx="740">
                  <c:v>2024</c:v>
                </c:pt>
                <c:pt idx="741">
                  <c:v>2024</c:v>
                </c:pt>
                <c:pt idx="742">
                  <c:v>2023</c:v>
                </c:pt>
                <c:pt idx="743">
                  <c:v>2024</c:v>
                </c:pt>
                <c:pt idx="744">
                  <c:v>2024</c:v>
                </c:pt>
                <c:pt idx="745">
                  <c:v>2024</c:v>
                </c:pt>
                <c:pt idx="746">
                  <c:v>2023</c:v>
                </c:pt>
                <c:pt idx="747">
                  <c:v>2024</c:v>
                </c:pt>
                <c:pt idx="748">
                  <c:v>2024</c:v>
                </c:pt>
                <c:pt idx="749">
                  <c:v>2024</c:v>
                </c:pt>
                <c:pt idx="750">
                  <c:v>2023</c:v>
                </c:pt>
                <c:pt idx="751">
                  <c:v>2024</c:v>
                </c:pt>
                <c:pt idx="752">
                  <c:v>2015</c:v>
                </c:pt>
                <c:pt idx="753">
                  <c:v>2017</c:v>
                </c:pt>
                <c:pt idx="754">
                  <c:v>2017</c:v>
                </c:pt>
                <c:pt idx="755">
                  <c:v>2016</c:v>
                </c:pt>
                <c:pt idx="756">
                  <c:v>2016</c:v>
                </c:pt>
                <c:pt idx="757">
                  <c:v>2017</c:v>
                </c:pt>
                <c:pt idx="758">
                  <c:v>2017</c:v>
                </c:pt>
                <c:pt idx="759">
                  <c:v>2018</c:v>
                </c:pt>
                <c:pt idx="760">
                  <c:v>2017</c:v>
                </c:pt>
                <c:pt idx="761">
                  <c:v>2018</c:v>
                </c:pt>
                <c:pt idx="762">
                  <c:v>2018</c:v>
                </c:pt>
                <c:pt idx="763">
                  <c:v>2018</c:v>
                </c:pt>
                <c:pt idx="764">
                  <c:v>2018</c:v>
                </c:pt>
                <c:pt idx="767">
                  <c:v>2022</c:v>
                </c:pt>
                <c:pt idx="770">
                  <c:v>2022</c:v>
                </c:pt>
                <c:pt idx="773">
                  <c:v>2022</c:v>
                </c:pt>
                <c:pt idx="774">
                  <c:v>2020</c:v>
                </c:pt>
                <c:pt idx="777">
                  <c:v>2017</c:v>
                </c:pt>
                <c:pt idx="778">
                  <c:v>2014</c:v>
                </c:pt>
                <c:pt idx="779">
                  <c:v>2022</c:v>
                </c:pt>
                <c:pt idx="780">
                  <c:v>2020</c:v>
                </c:pt>
                <c:pt idx="782">
                  <c:v>2017</c:v>
                </c:pt>
                <c:pt idx="783">
                  <c:v>2016</c:v>
                </c:pt>
                <c:pt idx="784">
                  <c:v>2014</c:v>
                </c:pt>
                <c:pt idx="785">
                  <c:v>2022</c:v>
                </c:pt>
                <c:pt idx="786">
                  <c:v>2020</c:v>
                </c:pt>
                <c:pt idx="787">
                  <c:v>2021</c:v>
                </c:pt>
                <c:pt idx="788">
                  <c:v>2015</c:v>
                </c:pt>
                <c:pt idx="789">
                  <c:v>2015</c:v>
                </c:pt>
                <c:pt idx="790">
                  <c:v>2017</c:v>
                </c:pt>
                <c:pt idx="791">
                  <c:v>2012</c:v>
                </c:pt>
                <c:pt idx="792">
                  <c:v>2012</c:v>
                </c:pt>
                <c:pt idx="793">
                  <c:v>2016</c:v>
                </c:pt>
                <c:pt idx="794">
                  <c:v>2014</c:v>
                </c:pt>
                <c:pt idx="795">
                  <c:v>2022</c:v>
                </c:pt>
                <c:pt idx="796">
                  <c:v>2020</c:v>
                </c:pt>
                <c:pt idx="797">
                  <c:v>2011</c:v>
                </c:pt>
                <c:pt idx="798">
                  <c:v>2015</c:v>
                </c:pt>
                <c:pt idx="799">
                  <c:v>2015</c:v>
                </c:pt>
                <c:pt idx="800">
                  <c:v>2017</c:v>
                </c:pt>
                <c:pt idx="801">
                  <c:v>2012</c:v>
                </c:pt>
                <c:pt idx="802">
                  <c:v>2012</c:v>
                </c:pt>
                <c:pt idx="803">
                  <c:v>2016</c:v>
                </c:pt>
                <c:pt idx="804">
                  <c:v>2014</c:v>
                </c:pt>
                <c:pt idx="805">
                  <c:v>2011</c:v>
                </c:pt>
                <c:pt idx="806">
                  <c:v>2015</c:v>
                </c:pt>
                <c:pt idx="807">
                  <c:v>2012</c:v>
                </c:pt>
                <c:pt idx="808">
                  <c:v>2015</c:v>
                </c:pt>
                <c:pt idx="809">
                  <c:v>2017</c:v>
                </c:pt>
                <c:pt idx="810">
                  <c:v>2012</c:v>
                </c:pt>
                <c:pt idx="811">
                  <c:v>2012</c:v>
                </c:pt>
                <c:pt idx="812">
                  <c:v>2016</c:v>
                </c:pt>
                <c:pt idx="813">
                  <c:v>2011</c:v>
                </c:pt>
                <c:pt idx="814">
                  <c:v>2015</c:v>
                </c:pt>
                <c:pt idx="815">
                  <c:v>2011</c:v>
                </c:pt>
                <c:pt idx="816">
                  <c:v>2012</c:v>
                </c:pt>
                <c:pt idx="817">
                  <c:v>2012</c:v>
                </c:pt>
                <c:pt idx="818">
                  <c:v>2012</c:v>
                </c:pt>
                <c:pt idx="819">
                  <c:v>2011</c:v>
                </c:pt>
                <c:pt idx="820">
                  <c:v>2015</c:v>
                </c:pt>
                <c:pt idx="821">
                  <c:v>2011</c:v>
                </c:pt>
                <c:pt idx="822">
                  <c:v>2012</c:v>
                </c:pt>
                <c:pt idx="823">
                  <c:v>2012</c:v>
                </c:pt>
                <c:pt idx="825">
                  <c:v>2011</c:v>
                </c:pt>
                <c:pt idx="826">
                  <c:v>2012</c:v>
                </c:pt>
                <c:pt idx="828">
                  <c:v>2011</c:v>
                </c:pt>
                <c:pt idx="829">
                  <c:v>2012</c:v>
                </c:pt>
                <c:pt idx="831">
                  <c:v>2011</c:v>
                </c:pt>
                <c:pt idx="833">
                  <c:v>2011</c:v>
                </c:pt>
                <c:pt idx="835">
                  <c:v>2011</c:v>
                </c:pt>
                <c:pt idx="836">
                  <c:v>2011</c:v>
                </c:pt>
                <c:pt idx="837">
                  <c:v>2011</c:v>
                </c:pt>
                <c:pt idx="838">
                  <c:v>2011</c:v>
                </c:pt>
                <c:pt idx="839">
                  <c:v>2011</c:v>
                </c:pt>
                <c:pt idx="840">
                  <c:v>2013</c:v>
                </c:pt>
                <c:pt idx="841">
                  <c:v>2013</c:v>
                </c:pt>
                <c:pt idx="842">
                  <c:v>2013</c:v>
                </c:pt>
                <c:pt idx="843">
                  <c:v>2010</c:v>
                </c:pt>
                <c:pt idx="844">
                  <c:v>2006</c:v>
                </c:pt>
                <c:pt idx="845">
                  <c:v>2009</c:v>
                </c:pt>
                <c:pt idx="846">
                  <c:v>2008</c:v>
                </c:pt>
                <c:pt idx="847">
                  <c:v>2010</c:v>
                </c:pt>
                <c:pt idx="848">
                  <c:v>2006</c:v>
                </c:pt>
                <c:pt idx="849">
                  <c:v>2009</c:v>
                </c:pt>
                <c:pt idx="850">
                  <c:v>2007</c:v>
                </c:pt>
                <c:pt idx="851">
                  <c:v>2008</c:v>
                </c:pt>
                <c:pt idx="852">
                  <c:v>2010</c:v>
                </c:pt>
                <c:pt idx="853">
                  <c:v>2006</c:v>
                </c:pt>
                <c:pt idx="854">
                  <c:v>2007</c:v>
                </c:pt>
                <c:pt idx="855">
                  <c:v>2008</c:v>
                </c:pt>
                <c:pt idx="856">
                  <c:v>2006</c:v>
                </c:pt>
                <c:pt idx="857">
                  <c:v>2007</c:v>
                </c:pt>
                <c:pt idx="858">
                  <c:v>2008</c:v>
                </c:pt>
                <c:pt idx="859">
                  <c:v>2006</c:v>
                </c:pt>
                <c:pt idx="860">
                  <c:v>2007</c:v>
                </c:pt>
                <c:pt idx="861">
                  <c:v>2006</c:v>
                </c:pt>
              </c:numCache>
            </c:numRef>
          </c:xVal>
          <c:yVal>
            <c:numRef>
              <c:f>Sheet2!$A$2:$A$863</c:f>
              <c:numCache>
                <c:formatCode>General</c:formatCode>
                <c:ptCount val="862"/>
                <c:pt idx="0">
                  <c:v>53.937432578209282</c:v>
                </c:pt>
                <c:pt idx="1">
                  <c:v>54.318305268875612</c:v>
                </c:pt>
                <c:pt idx="2">
                  <c:v>54.704595185995622</c:v>
                </c:pt>
                <c:pt idx="3">
                  <c:v>55.096418732782375</c:v>
                </c:pt>
                <c:pt idx="4">
                  <c:v>55.493895671476139</c:v>
                </c:pt>
                <c:pt idx="5">
                  <c:v>55.897149245388484</c:v>
                </c:pt>
                <c:pt idx="6">
                  <c:v>52.714812862414341</c:v>
                </c:pt>
                <c:pt idx="7">
                  <c:v>51.948051948051948</c:v>
                </c:pt>
                <c:pt idx="8">
                  <c:v>54.112554112554115</c:v>
                </c:pt>
                <c:pt idx="9">
                  <c:v>53.134962805526037</c:v>
                </c:pt>
                <c:pt idx="10">
                  <c:v>52.356020942408371</c:v>
                </c:pt>
                <c:pt idx="11">
                  <c:v>54.525627044711015</c:v>
                </c:pt>
                <c:pt idx="12">
                  <c:v>53.533190578158461</c:v>
                </c:pt>
                <c:pt idx="13">
                  <c:v>52.742616033755269</c:v>
                </c:pt>
                <c:pt idx="14">
                  <c:v>54.975261132490374</c:v>
                </c:pt>
                <c:pt idx="15">
                  <c:v>53.966540744738261</c:v>
                </c:pt>
                <c:pt idx="16">
                  <c:v>53.163211057947905</c:v>
                </c:pt>
                <c:pt idx="17">
                  <c:v>55.401662049861493</c:v>
                </c:pt>
                <c:pt idx="18">
                  <c:v>48.97159647404505</c:v>
                </c:pt>
                <c:pt idx="19">
                  <c:v>54.406964091403701</c:v>
                </c:pt>
                <c:pt idx="20">
                  <c:v>53.590568060021432</c:v>
                </c:pt>
                <c:pt idx="21">
                  <c:v>55.83472920156337</c:v>
                </c:pt>
                <c:pt idx="22">
                  <c:v>49.358341559723591</c:v>
                </c:pt>
                <c:pt idx="23">
                  <c:v>54.824561403508774</c:v>
                </c:pt>
                <c:pt idx="24">
                  <c:v>51.599587203302377</c:v>
                </c:pt>
                <c:pt idx="25">
                  <c:v>54.024851431658561</c:v>
                </c:pt>
                <c:pt idx="26">
                  <c:v>54.347826086956523</c:v>
                </c:pt>
                <c:pt idx="27">
                  <c:v>56.274620146314014</c:v>
                </c:pt>
                <c:pt idx="28">
                  <c:v>49.751243781094523</c:v>
                </c:pt>
                <c:pt idx="29">
                  <c:v>46.339202965708992</c:v>
                </c:pt>
                <c:pt idx="30">
                  <c:v>55.279159756771698</c:v>
                </c:pt>
                <c:pt idx="31">
                  <c:v>52.029136316337151</c:v>
                </c:pt>
                <c:pt idx="32">
                  <c:v>54.794520547945204</c:v>
                </c:pt>
                <c:pt idx="33">
                  <c:v>50.175614651279481</c:v>
                </c:pt>
                <c:pt idx="34">
                  <c:v>46.728971962616825</c:v>
                </c:pt>
                <c:pt idx="35">
                  <c:v>53.106744556558688</c:v>
                </c:pt>
                <c:pt idx="36">
                  <c:v>55.741360089186173</c:v>
                </c:pt>
                <c:pt idx="37">
                  <c:v>52.465897166841557</c:v>
                </c:pt>
                <c:pt idx="38">
                  <c:v>55.248618784530379</c:v>
                </c:pt>
                <c:pt idx="39">
                  <c:v>50.581689428426913</c:v>
                </c:pt>
                <c:pt idx="40">
                  <c:v>47.103155911446066</c:v>
                </c:pt>
                <c:pt idx="41">
                  <c:v>53.561863952865558</c:v>
                </c:pt>
                <c:pt idx="42">
                  <c:v>56.211354693648119</c:v>
                </c:pt>
                <c:pt idx="43">
                  <c:v>52.882072977260705</c:v>
                </c:pt>
                <c:pt idx="44">
                  <c:v>55.710306406685241</c:v>
                </c:pt>
                <c:pt idx="45">
                  <c:v>50.994390617032131</c:v>
                </c:pt>
                <c:pt idx="46">
                  <c:v>47.505938242280287</c:v>
                </c:pt>
                <c:pt idx="47">
                  <c:v>53.995680345572353</c:v>
                </c:pt>
                <c:pt idx="48">
                  <c:v>53.333333333333336</c:v>
                </c:pt>
                <c:pt idx="49">
                  <c:v>56.179775280898873</c:v>
                </c:pt>
                <c:pt idx="50">
                  <c:v>51.440329218106996</c:v>
                </c:pt>
                <c:pt idx="51">
                  <c:v>55.463117027176921</c:v>
                </c:pt>
                <c:pt idx="52">
                  <c:v>47.892720306513411</c:v>
                </c:pt>
                <c:pt idx="53">
                  <c:v>54.466230936819173</c:v>
                </c:pt>
                <c:pt idx="54">
                  <c:v>53.792361484669179</c:v>
                </c:pt>
                <c:pt idx="55">
                  <c:v>56.625141562853905</c:v>
                </c:pt>
                <c:pt idx="56">
                  <c:v>54.229934924078087</c:v>
                </c:pt>
                <c:pt idx="57">
                  <c:v>55.928411633109626</c:v>
                </c:pt>
                <c:pt idx="58">
                  <c:v>48.309178743961354</c:v>
                </c:pt>
                <c:pt idx="59">
                  <c:v>54.914881933003841</c:v>
                </c:pt>
                <c:pt idx="60">
                  <c:v>45.766590389016017</c:v>
                </c:pt>
                <c:pt idx="61">
                  <c:v>57.110222729868639</c:v>
                </c:pt>
                <c:pt idx="62">
                  <c:v>54.704595185995622</c:v>
                </c:pt>
                <c:pt idx="63">
                  <c:v>56.401579244218837</c:v>
                </c:pt>
                <c:pt idx="64">
                  <c:v>48.709206039941549</c:v>
                </c:pt>
                <c:pt idx="65">
                  <c:v>46.146746654360861</c:v>
                </c:pt>
                <c:pt idx="66">
                  <c:v>57.603686635944705</c:v>
                </c:pt>
                <c:pt idx="67">
                  <c:v>55.187637969094922</c:v>
                </c:pt>
                <c:pt idx="68">
                  <c:v>56.882821387940851</c:v>
                </c:pt>
                <c:pt idx="69">
                  <c:v>49.140049140049136</c:v>
                </c:pt>
                <c:pt idx="70">
                  <c:v>46.554934823091244</c:v>
                </c:pt>
                <c:pt idx="71">
                  <c:v>55.648302726766836</c:v>
                </c:pt>
                <c:pt idx="72">
                  <c:v>57.405281285878296</c:v>
                </c:pt>
                <c:pt idx="73">
                  <c:v>49.554013875123886</c:v>
                </c:pt>
                <c:pt idx="74">
                  <c:v>46.948356807511736</c:v>
                </c:pt>
                <c:pt idx="75">
                  <c:v>56.148231330713088</c:v>
                </c:pt>
                <c:pt idx="76">
                  <c:v>56.148231330713088</c:v>
                </c:pt>
                <c:pt idx="77">
                  <c:v>50</c:v>
                </c:pt>
                <c:pt idx="78">
                  <c:v>47.370914258645193</c:v>
                </c:pt>
                <c:pt idx="79">
                  <c:v>56.625141562853905</c:v>
                </c:pt>
                <c:pt idx="80">
                  <c:v>50.454086781029261</c:v>
                </c:pt>
                <c:pt idx="81">
                  <c:v>57.142857142857146</c:v>
                </c:pt>
                <c:pt idx="82">
                  <c:v>50.890585241730285</c:v>
                </c:pt>
                <c:pt idx="83">
                  <c:v>57.670126874279127</c:v>
                </c:pt>
                <c:pt idx="84">
                  <c:v>58.173356602675973</c:v>
                </c:pt>
                <c:pt idx="85">
                  <c:v>46.533271288971619</c:v>
                </c:pt>
                <c:pt idx="86">
                  <c:v>46.992481203007515</c:v>
                </c:pt>
                <c:pt idx="87">
                  <c:v>48.496605237633361</c:v>
                </c:pt>
                <c:pt idx="88">
                  <c:v>47.483380816714153</c:v>
                </c:pt>
                <c:pt idx="89">
                  <c:v>48.97159647404505</c:v>
                </c:pt>
                <c:pt idx="90">
                  <c:v>48.97159647404505</c:v>
                </c:pt>
                <c:pt idx="91">
                  <c:v>49.382716049382715</c:v>
                </c:pt>
                <c:pt idx="92">
                  <c:v>47.961630695443645</c:v>
                </c:pt>
                <c:pt idx="93">
                  <c:v>49.480455220188027</c:v>
                </c:pt>
                <c:pt idx="94">
                  <c:v>49.480455220188027</c:v>
                </c:pt>
                <c:pt idx="95">
                  <c:v>49.900199600798402</c:v>
                </c:pt>
                <c:pt idx="96">
                  <c:v>48.449612403100772</c:v>
                </c:pt>
                <c:pt idx="97">
                  <c:v>50</c:v>
                </c:pt>
                <c:pt idx="98">
                  <c:v>50</c:v>
                </c:pt>
                <c:pt idx="99">
                  <c:v>46.882325363338026</c:v>
                </c:pt>
                <c:pt idx="100">
                  <c:v>46.882325363338026</c:v>
                </c:pt>
                <c:pt idx="101">
                  <c:v>48.947626040137052</c:v>
                </c:pt>
                <c:pt idx="102">
                  <c:v>50.530570995452251</c:v>
                </c:pt>
                <c:pt idx="103">
                  <c:v>50.530570995452251</c:v>
                </c:pt>
                <c:pt idx="104">
                  <c:v>47.370914258645193</c:v>
                </c:pt>
                <c:pt idx="105">
                  <c:v>47.370914258645193</c:v>
                </c:pt>
                <c:pt idx="106">
                  <c:v>49.480455220188027</c:v>
                </c:pt>
                <c:pt idx="107">
                  <c:v>51.493305870236867</c:v>
                </c:pt>
                <c:pt idx="108">
                  <c:v>51.493305870236867</c:v>
                </c:pt>
                <c:pt idx="109">
                  <c:v>51.072522982635348</c:v>
                </c:pt>
                <c:pt idx="110">
                  <c:v>47.86979415988511</c:v>
                </c:pt>
                <c:pt idx="111">
                  <c:v>47.86979415988511</c:v>
                </c:pt>
                <c:pt idx="112">
                  <c:v>52.05622071837584</c:v>
                </c:pt>
                <c:pt idx="113">
                  <c:v>52.05622071837584</c:v>
                </c:pt>
                <c:pt idx="114">
                  <c:v>48.379293662312527</c:v>
                </c:pt>
                <c:pt idx="115">
                  <c:v>48.379293662312527</c:v>
                </c:pt>
                <c:pt idx="116">
                  <c:v>53.763440860215049</c:v>
                </c:pt>
                <c:pt idx="117">
                  <c:v>52.603892688058913</c:v>
                </c:pt>
                <c:pt idx="118">
                  <c:v>48.923679060665357</c:v>
                </c:pt>
                <c:pt idx="119">
                  <c:v>48.923679060665357</c:v>
                </c:pt>
                <c:pt idx="120">
                  <c:v>54.347826086956523</c:v>
                </c:pt>
                <c:pt idx="121">
                  <c:v>53.191489361702125</c:v>
                </c:pt>
                <c:pt idx="122">
                  <c:v>46.146746654360861</c:v>
                </c:pt>
                <c:pt idx="123">
                  <c:v>54.945054945054949</c:v>
                </c:pt>
                <c:pt idx="124">
                  <c:v>54.945054945054949</c:v>
                </c:pt>
                <c:pt idx="125">
                  <c:v>53.763440860215049</c:v>
                </c:pt>
                <c:pt idx="126">
                  <c:v>48.899755501222494</c:v>
                </c:pt>
                <c:pt idx="127">
                  <c:v>46.663555762949137</c:v>
                </c:pt>
                <c:pt idx="128">
                  <c:v>55.555555555555557</c:v>
                </c:pt>
                <c:pt idx="129">
                  <c:v>55.555555555555557</c:v>
                </c:pt>
                <c:pt idx="130">
                  <c:v>49.431537320810676</c:v>
                </c:pt>
                <c:pt idx="131">
                  <c:v>49.431537320810676</c:v>
                </c:pt>
                <c:pt idx="132">
                  <c:v>49.431537320810676</c:v>
                </c:pt>
                <c:pt idx="133">
                  <c:v>49.431537320810676</c:v>
                </c:pt>
                <c:pt idx="134">
                  <c:v>47.192071731949028</c:v>
                </c:pt>
                <c:pt idx="135">
                  <c:v>47.192071731949028</c:v>
                </c:pt>
                <c:pt idx="136">
                  <c:v>56.179775280898873</c:v>
                </c:pt>
                <c:pt idx="137">
                  <c:v>56.179775280898873</c:v>
                </c:pt>
                <c:pt idx="138">
                  <c:v>50</c:v>
                </c:pt>
                <c:pt idx="139">
                  <c:v>50</c:v>
                </c:pt>
                <c:pt idx="140">
                  <c:v>50</c:v>
                </c:pt>
                <c:pt idx="141">
                  <c:v>50</c:v>
                </c:pt>
                <c:pt idx="142">
                  <c:v>50</c:v>
                </c:pt>
                <c:pt idx="143">
                  <c:v>50</c:v>
                </c:pt>
                <c:pt idx="144">
                  <c:v>47.732696897374701</c:v>
                </c:pt>
                <c:pt idx="145">
                  <c:v>47.732696897374701</c:v>
                </c:pt>
                <c:pt idx="146">
                  <c:v>56.818181818181813</c:v>
                </c:pt>
                <c:pt idx="147">
                  <c:v>56.818181818181813</c:v>
                </c:pt>
                <c:pt idx="148">
                  <c:v>50.581689428426913</c:v>
                </c:pt>
                <c:pt idx="149">
                  <c:v>50.581689428426913</c:v>
                </c:pt>
                <c:pt idx="150">
                  <c:v>50.581689428426913</c:v>
                </c:pt>
                <c:pt idx="151">
                  <c:v>50.581689428426913</c:v>
                </c:pt>
                <c:pt idx="152">
                  <c:v>50.581689428426913</c:v>
                </c:pt>
                <c:pt idx="153">
                  <c:v>50.581689428426913</c:v>
                </c:pt>
                <c:pt idx="154">
                  <c:v>50.581689428426913</c:v>
                </c:pt>
                <c:pt idx="155">
                  <c:v>50.581689428426913</c:v>
                </c:pt>
                <c:pt idx="156">
                  <c:v>48.285852245292126</c:v>
                </c:pt>
                <c:pt idx="157">
                  <c:v>48.285852245292126</c:v>
                </c:pt>
                <c:pt idx="158">
                  <c:v>57.471264367816097</c:v>
                </c:pt>
                <c:pt idx="159">
                  <c:v>51.150895140664957</c:v>
                </c:pt>
                <c:pt idx="160">
                  <c:v>51.150895140664957</c:v>
                </c:pt>
                <c:pt idx="161">
                  <c:v>51.150895140664957</c:v>
                </c:pt>
                <c:pt idx="162">
                  <c:v>51.150895140664957</c:v>
                </c:pt>
                <c:pt idx="163">
                  <c:v>51.150895140664957</c:v>
                </c:pt>
                <c:pt idx="164">
                  <c:v>51.150895140664957</c:v>
                </c:pt>
                <c:pt idx="165">
                  <c:v>51.150895140664957</c:v>
                </c:pt>
                <c:pt idx="166">
                  <c:v>51.150895140664957</c:v>
                </c:pt>
                <c:pt idx="167">
                  <c:v>51.150895140664957</c:v>
                </c:pt>
                <c:pt idx="168">
                  <c:v>48.828125</c:v>
                </c:pt>
                <c:pt idx="169">
                  <c:v>48.828125</c:v>
                </c:pt>
                <c:pt idx="170">
                  <c:v>51.759834368530022</c:v>
                </c:pt>
                <c:pt idx="171">
                  <c:v>51.759834368530022</c:v>
                </c:pt>
                <c:pt idx="172">
                  <c:v>51.759834368530022</c:v>
                </c:pt>
                <c:pt idx="173">
                  <c:v>51.759834368530022</c:v>
                </c:pt>
                <c:pt idx="174">
                  <c:v>51.759834368530022</c:v>
                </c:pt>
                <c:pt idx="175">
                  <c:v>51.759834368530022</c:v>
                </c:pt>
                <c:pt idx="176">
                  <c:v>51.759834368530022</c:v>
                </c:pt>
                <c:pt idx="177">
                  <c:v>51.759834368530022</c:v>
                </c:pt>
                <c:pt idx="178">
                  <c:v>49.40711462450593</c:v>
                </c:pt>
                <c:pt idx="179">
                  <c:v>49.40711462450593</c:v>
                </c:pt>
                <c:pt idx="180">
                  <c:v>52.383446830801468</c:v>
                </c:pt>
                <c:pt idx="181">
                  <c:v>52.383446830801468</c:v>
                </c:pt>
                <c:pt idx="182">
                  <c:v>52.383446830801468</c:v>
                </c:pt>
                <c:pt idx="183">
                  <c:v>52.383446830801468</c:v>
                </c:pt>
                <c:pt idx="184">
                  <c:v>52.383446830801468</c:v>
                </c:pt>
                <c:pt idx="185">
                  <c:v>52.383446830801468</c:v>
                </c:pt>
                <c:pt idx="186">
                  <c:v>50</c:v>
                </c:pt>
                <c:pt idx="187">
                  <c:v>53.022269353128316</c:v>
                </c:pt>
                <c:pt idx="188">
                  <c:v>53.022269353128316</c:v>
                </c:pt>
                <c:pt idx="189">
                  <c:v>53.022269353128316</c:v>
                </c:pt>
                <c:pt idx="190">
                  <c:v>53.022269353128316</c:v>
                </c:pt>
                <c:pt idx="191">
                  <c:v>53.022269353128316</c:v>
                </c:pt>
                <c:pt idx="192">
                  <c:v>50.607287449392707</c:v>
                </c:pt>
                <c:pt idx="193">
                  <c:v>53.648068669527895</c:v>
                </c:pt>
                <c:pt idx="194">
                  <c:v>53.648068669527895</c:v>
                </c:pt>
                <c:pt idx="195">
                  <c:v>53.648068669527895</c:v>
                </c:pt>
                <c:pt idx="196">
                  <c:v>54.318305268875612</c:v>
                </c:pt>
                <c:pt idx="197">
                  <c:v>54.318305268875612</c:v>
                </c:pt>
                <c:pt idx="198">
                  <c:v>54.318305268875612</c:v>
                </c:pt>
                <c:pt idx="199">
                  <c:v>55.005500550055004</c:v>
                </c:pt>
                <c:pt idx="200">
                  <c:v>55.710306406685241</c:v>
                </c:pt>
                <c:pt idx="201">
                  <c:v>55.865921787709503</c:v>
                </c:pt>
                <c:pt idx="202">
                  <c:v>51.733057423693744</c:v>
                </c:pt>
                <c:pt idx="203">
                  <c:v>56.242969628796395</c:v>
                </c:pt>
                <c:pt idx="204">
                  <c:v>52.083333333333336</c:v>
                </c:pt>
                <c:pt idx="205">
                  <c:v>56.657223796033996</c:v>
                </c:pt>
                <c:pt idx="206">
                  <c:v>52.438384897745152</c:v>
                </c:pt>
                <c:pt idx="207">
                  <c:v>57.045065601825435</c:v>
                </c:pt>
                <c:pt idx="208">
                  <c:v>52.826201796090864</c:v>
                </c:pt>
                <c:pt idx="209">
                  <c:v>57.438253877082133</c:v>
                </c:pt>
                <c:pt idx="210">
                  <c:v>53.191489361702125</c:v>
                </c:pt>
                <c:pt idx="211">
                  <c:v>57.870370370370367</c:v>
                </c:pt>
                <c:pt idx="212">
                  <c:v>53.561863952865558</c:v>
                </c:pt>
                <c:pt idx="213">
                  <c:v>56.211354693648119</c:v>
                </c:pt>
                <c:pt idx="214">
                  <c:v>53.333333333333336</c:v>
                </c:pt>
                <c:pt idx="215">
                  <c:v>56.657223796033996</c:v>
                </c:pt>
                <c:pt idx="216">
                  <c:v>53.792361484669179</c:v>
                </c:pt>
                <c:pt idx="217">
                  <c:v>57.142857142857146</c:v>
                </c:pt>
                <c:pt idx="218">
                  <c:v>54.229934924078087</c:v>
                </c:pt>
                <c:pt idx="219">
                  <c:v>57.636887608069159</c:v>
                </c:pt>
                <c:pt idx="220">
                  <c:v>54.704595185995622</c:v>
                </c:pt>
                <c:pt idx="221">
                  <c:v>58.105752469494476</c:v>
                </c:pt>
                <c:pt idx="222">
                  <c:v>55.187637969094922</c:v>
                </c:pt>
                <c:pt idx="223">
                  <c:v>58.616647127784297</c:v>
                </c:pt>
                <c:pt idx="224">
                  <c:v>52.192066805845513</c:v>
                </c:pt>
                <c:pt idx="225">
                  <c:v>52.687038988408851</c:v>
                </c:pt>
                <c:pt idx="226">
                  <c:v>52.687038988408851</c:v>
                </c:pt>
                <c:pt idx="227">
                  <c:v>53.191489361702125</c:v>
                </c:pt>
                <c:pt idx="228">
                  <c:v>53.191489361702125</c:v>
                </c:pt>
                <c:pt idx="229">
                  <c:v>53.734551316496507</c:v>
                </c:pt>
                <c:pt idx="230">
                  <c:v>53.734551316496507</c:v>
                </c:pt>
                <c:pt idx="231">
                  <c:v>54.259359739555073</c:v>
                </c:pt>
                <c:pt idx="232">
                  <c:v>54.259359739555073</c:v>
                </c:pt>
                <c:pt idx="233">
                  <c:v>54.794520547945204</c:v>
                </c:pt>
                <c:pt idx="234">
                  <c:v>54.794520547945204</c:v>
                </c:pt>
                <c:pt idx="235">
                  <c:v>55.340343110127279</c:v>
                </c:pt>
                <c:pt idx="236">
                  <c:v>57.306590257879655</c:v>
                </c:pt>
                <c:pt idx="237">
                  <c:v>57.903879559930516</c:v>
                </c:pt>
                <c:pt idx="238">
                  <c:v>55.370985603543744</c:v>
                </c:pt>
                <c:pt idx="239">
                  <c:v>58.513750731421887</c:v>
                </c:pt>
                <c:pt idx="240">
                  <c:v>55.959709009513148</c:v>
                </c:pt>
                <c:pt idx="241">
                  <c:v>47.103155911446066</c:v>
                </c:pt>
                <c:pt idx="242">
                  <c:v>59.13660555884092</c:v>
                </c:pt>
                <c:pt idx="243">
                  <c:v>56.561085972850677</c:v>
                </c:pt>
                <c:pt idx="244">
                  <c:v>47.61904761904762</c:v>
                </c:pt>
                <c:pt idx="245">
                  <c:v>59.772863120143455</c:v>
                </c:pt>
                <c:pt idx="246">
                  <c:v>57.175528873642087</c:v>
                </c:pt>
                <c:pt idx="247">
                  <c:v>47.915668423574509</c:v>
                </c:pt>
                <c:pt idx="248">
                  <c:v>48.123195380173243</c:v>
                </c:pt>
                <c:pt idx="249">
                  <c:v>57.803468208092482</c:v>
                </c:pt>
                <c:pt idx="250">
                  <c:v>47.103155911446066</c:v>
                </c:pt>
                <c:pt idx="251">
                  <c:v>53.763440860215049</c:v>
                </c:pt>
                <c:pt idx="252">
                  <c:v>48.449612403100772</c:v>
                </c:pt>
                <c:pt idx="253">
                  <c:v>48.661800486618006</c:v>
                </c:pt>
                <c:pt idx="254">
                  <c:v>47.641734159123395</c:v>
                </c:pt>
                <c:pt idx="255">
                  <c:v>54.377379010331701</c:v>
                </c:pt>
                <c:pt idx="256">
                  <c:v>49.431537320810676</c:v>
                </c:pt>
                <c:pt idx="257">
                  <c:v>48.99559039686428</c:v>
                </c:pt>
                <c:pt idx="258">
                  <c:v>49.212598425196852</c:v>
                </c:pt>
                <c:pt idx="259">
                  <c:v>48.192771084337352</c:v>
                </c:pt>
                <c:pt idx="260">
                  <c:v>55.005500550055004</c:v>
                </c:pt>
                <c:pt idx="261">
                  <c:v>48.192771084337352</c:v>
                </c:pt>
                <c:pt idx="262">
                  <c:v>55.005500550055004</c:v>
                </c:pt>
                <c:pt idx="263">
                  <c:v>50</c:v>
                </c:pt>
                <c:pt idx="264">
                  <c:v>49.554013875123886</c:v>
                </c:pt>
                <c:pt idx="265">
                  <c:v>49.776007964161273</c:v>
                </c:pt>
                <c:pt idx="266">
                  <c:v>48.732943469785575</c:v>
                </c:pt>
                <c:pt idx="267">
                  <c:v>55.617352614015573</c:v>
                </c:pt>
                <c:pt idx="268">
                  <c:v>48.732943469785575</c:v>
                </c:pt>
                <c:pt idx="269">
                  <c:v>55.617352614015573</c:v>
                </c:pt>
                <c:pt idx="270">
                  <c:v>50.581689428426913</c:v>
                </c:pt>
                <c:pt idx="271">
                  <c:v>50.125313283208023</c:v>
                </c:pt>
                <c:pt idx="272">
                  <c:v>49.309664694280073</c:v>
                </c:pt>
                <c:pt idx="273">
                  <c:v>56.274620146314014</c:v>
                </c:pt>
                <c:pt idx="274">
                  <c:v>49.309664694280073</c:v>
                </c:pt>
                <c:pt idx="275">
                  <c:v>56.274620146314014</c:v>
                </c:pt>
                <c:pt idx="276">
                  <c:v>51.150895140664957</c:v>
                </c:pt>
                <c:pt idx="277">
                  <c:v>50.709939148073026</c:v>
                </c:pt>
                <c:pt idx="278">
                  <c:v>49.875311720698249</c:v>
                </c:pt>
                <c:pt idx="279">
                  <c:v>56.947608200455583</c:v>
                </c:pt>
                <c:pt idx="280">
                  <c:v>51.759834368530022</c:v>
                </c:pt>
                <c:pt idx="281">
                  <c:v>50.479555779909141</c:v>
                </c:pt>
                <c:pt idx="282">
                  <c:v>57.603686635944705</c:v>
                </c:pt>
                <c:pt idx="283">
                  <c:v>48.756704046806433</c:v>
                </c:pt>
                <c:pt idx="284">
                  <c:v>58.754406580493537</c:v>
                </c:pt>
                <c:pt idx="285">
                  <c:v>58.754406580493537</c:v>
                </c:pt>
                <c:pt idx="286">
                  <c:v>49.358341559723591</c:v>
                </c:pt>
                <c:pt idx="287">
                  <c:v>59.488399762046406</c:v>
                </c:pt>
                <c:pt idx="288">
                  <c:v>59.488399762046406</c:v>
                </c:pt>
                <c:pt idx="289">
                  <c:v>56.211354693648119</c:v>
                </c:pt>
                <c:pt idx="290">
                  <c:v>50</c:v>
                </c:pt>
                <c:pt idx="291">
                  <c:v>60.240963855421683</c:v>
                </c:pt>
                <c:pt idx="292">
                  <c:v>60.240963855421683</c:v>
                </c:pt>
                <c:pt idx="293">
                  <c:v>56.915196357427433</c:v>
                </c:pt>
                <c:pt idx="294">
                  <c:v>50.658561296859176</c:v>
                </c:pt>
                <c:pt idx="295">
                  <c:v>61.050061050061053</c:v>
                </c:pt>
                <c:pt idx="296">
                  <c:v>61.050061050061053</c:v>
                </c:pt>
                <c:pt idx="297">
                  <c:v>57.670126874279127</c:v>
                </c:pt>
                <c:pt idx="298">
                  <c:v>51.308363263211909</c:v>
                </c:pt>
                <c:pt idx="299">
                  <c:v>61.842918985776123</c:v>
                </c:pt>
                <c:pt idx="300">
                  <c:v>61.842918985776123</c:v>
                </c:pt>
                <c:pt idx="301">
                  <c:v>58.411214953271028</c:v>
                </c:pt>
                <c:pt idx="302">
                  <c:v>59.206631142687982</c:v>
                </c:pt>
                <c:pt idx="303">
                  <c:v>54.17118093174431</c:v>
                </c:pt>
                <c:pt idx="304">
                  <c:v>55.710306406685241</c:v>
                </c:pt>
                <c:pt idx="305">
                  <c:v>57.570523891767415</c:v>
                </c:pt>
                <c:pt idx="306">
                  <c:v>56.053811659192824</c:v>
                </c:pt>
                <c:pt idx="307">
                  <c:v>58.445353594389246</c:v>
                </c:pt>
                <c:pt idx="308">
                  <c:v>56.915196357427433</c:v>
                </c:pt>
                <c:pt idx="309">
                  <c:v>57.803468208092482</c:v>
                </c:pt>
                <c:pt idx="310">
                  <c:v>58.719906048150321</c:v>
                </c:pt>
                <c:pt idx="311">
                  <c:v>59.665871121718375</c:v>
                </c:pt>
                <c:pt idx="312">
                  <c:v>61.236987140232706</c:v>
                </c:pt>
                <c:pt idx="313">
                  <c:v>62.5</c:v>
                </c:pt>
                <c:pt idx="314">
                  <c:v>106.60980810234541</c:v>
                </c:pt>
                <c:pt idx="315">
                  <c:v>117.92452830188678</c:v>
                </c:pt>
                <c:pt idx="316">
                  <c:v>51.840331778123385</c:v>
                </c:pt>
                <c:pt idx="317">
                  <c:v>51.840331778123385</c:v>
                </c:pt>
                <c:pt idx="318">
                  <c:v>59.701492537313435</c:v>
                </c:pt>
                <c:pt idx="319">
                  <c:v>57.175528873642087</c:v>
                </c:pt>
                <c:pt idx="320">
                  <c:v>49.701789264413513</c:v>
                </c:pt>
                <c:pt idx="321">
                  <c:v>52.246603970741901</c:v>
                </c:pt>
                <c:pt idx="322">
                  <c:v>52.246603970741901</c:v>
                </c:pt>
                <c:pt idx="323">
                  <c:v>57.603686635944705</c:v>
                </c:pt>
                <c:pt idx="324">
                  <c:v>60.168471720818289</c:v>
                </c:pt>
                <c:pt idx="325">
                  <c:v>57.603686635944705</c:v>
                </c:pt>
                <c:pt idx="326">
                  <c:v>50.075112669003509</c:v>
                </c:pt>
                <c:pt idx="327">
                  <c:v>52.631578947368418</c:v>
                </c:pt>
                <c:pt idx="328">
                  <c:v>52.631578947368418</c:v>
                </c:pt>
                <c:pt idx="329">
                  <c:v>58.038305281485776</c:v>
                </c:pt>
                <c:pt idx="330">
                  <c:v>60.606060606060609</c:v>
                </c:pt>
                <c:pt idx="331">
                  <c:v>58.038305281485776</c:v>
                </c:pt>
                <c:pt idx="332">
                  <c:v>50.454086781029261</c:v>
                </c:pt>
                <c:pt idx="333">
                  <c:v>53.022269353128316</c:v>
                </c:pt>
                <c:pt idx="334">
                  <c:v>53.022269353128316</c:v>
                </c:pt>
                <c:pt idx="335">
                  <c:v>58.479532163742682</c:v>
                </c:pt>
                <c:pt idx="336">
                  <c:v>61.050061050061053</c:v>
                </c:pt>
                <c:pt idx="337">
                  <c:v>58.479532163742682</c:v>
                </c:pt>
                <c:pt idx="338">
                  <c:v>50.838840874428058</c:v>
                </c:pt>
                <c:pt idx="339">
                  <c:v>53.447354355959376</c:v>
                </c:pt>
                <c:pt idx="340">
                  <c:v>53.447354355959376</c:v>
                </c:pt>
                <c:pt idx="341">
                  <c:v>58.927519151443725</c:v>
                </c:pt>
                <c:pt idx="342">
                  <c:v>61.53846153846154</c:v>
                </c:pt>
                <c:pt idx="343">
                  <c:v>58.927519151443725</c:v>
                </c:pt>
                <c:pt idx="344">
                  <c:v>51.229508196721312</c:v>
                </c:pt>
                <c:pt idx="345">
                  <c:v>59.382422802850357</c:v>
                </c:pt>
                <c:pt idx="346">
                  <c:v>51.626226122870413</c:v>
                </c:pt>
                <c:pt idx="347">
                  <c:v>59.844404548174744</c:v>
                </c:pt>
                <c:pt idx="348">
                  <c:v>50.175614651279481</c:v>
                </c:pt>
                <c:pt idx="349">
                  <c:v>57.670126874279127</c:v>
                </c:pt>
                <c:pt idx="350">
                  <c:v>50.581689428426913</c:v>
                </c:pt>
                <c:pt idx="351">
                  <c:v>58.173356602675973</c:v>
                </c:pt>
                <c:pt idx="352">
                  <c:v>50.994390617032131</c:v>
                </c:pt>
                <c:pt idx="353">
                  <c:v>58.651026392961874</c:v>
                </c:pt>
                <c:pt idx="354">
                  <c:v>52.438384897745152</c:v>
                </c:pt>
                <c:pt idx="355">
                  <c:v>51.440329218106996</c:v>
                </c:pt>
                <c:pt idx="356">
                  <c:v>59.13660555884092</c:v>
                </c:pt>
                <c:pt idx="357">
                  <c:v>52.882072977260705</c:v>
                </c:pt>
                <c:pt idx="358">
                  <c:v>51.867219917012449</c:v>
                </c:pt>
                <c:pt idx="359">
                  <c:v>59.665871121718375</c:v>
                </c:pt>
                <c:pt idx="360">
                  <c:v>53.333333333333336</c:v>
                </c:pt>
                <c:pt idx="361">
                  <c:v>52.30125523012552</c:v>
                </c:pt>
                <c:pt idx="362">
                  <c:v>60.168471720818289</c:v>
                </c:pt>
                <c:pt idx="363">
                  <c:v>53.792361484669179</c:v>
                </c:pt>
                <c:pt idx="364">
                  <c:v>53.219797764768494</c:v>
                </c:pt>
                <c:pt idx="365">
                  <c:v>54.259359739555073</c:v>
                </c:pt>
                <c:pt idx="366">
                  <c:v>53.676865271068174</c:v>
                </c:pt>
                <c:pt idx="367">
                  <c:v>47.370914258645193</c:v>
                </c:pt>
                <c:pt idx="368">
                  <c:v>47.370914258645193</c:v>
                </c:pt>
                <c:pt idx="369">
                  <c:v>47.370914258645193</c:v>
                </c:pt>
                <c:pt idx="370">
                  <c:v>47.370914258645193</c:v>
                </c:pt>
                <c:pt idx="371">
                  <c:v>54.17118093174431</c:v>
                </c:pt>
                <c:pt idx="372">
                  <c:v>47.778308647873864</c:v>
                </c:pt>
                <c:pt idx="373">
                  <c:v>47.778308647873864</c:v>
                </c:pt>
                <c:pt idx="374">
                  <c:v>47.778308647873864</c:v>
                </c:pt>
                <c:pt idx="375">
                  <c:v>47.778308647873864</c:v>
                </c:pt>
                <c:pt idx="376">
                  <c:v>54.644808743169399</c:v>
                </c:pt>
                <c:pt idx="377">
                  <c:v>51.599587203302377</c:v>
                </c:pt>
                <c:pt idx="378">
                  <c:v>48.216007714561236</c:v>
                </c:pt>
                <c:pt idx="379">
                  <c:v>48.216007714561236</c:v>
                </c:pt>
                <c:pt idx="380">
                  <c:v>48.216007714561236</c:v>
                </c:pt>
                <c:pt idx="381">
                  <c:v>48.216007714561236</c:v>
                </c:pt>
                <c:pt idx="382">
                  <c:v>48.216007714561236</c:v>
                </c:pt>
                <c:pt idx="383">
                  <c:v>54.466230936819173</c:v>
                </c:pt>
                <c:pt idx="384">
                  <c:v>54.466230936819173</c:v>
                </c:pt>
                <c:pt idx="385">
                  <c:v>48.216007714561236</c:v>
                </c:pt>
                <c:pt idx="386">
                  <c:v>51.786639047125846</c:v>
                </c:pt>
                <c:pt idx="387">
                  <c:v>54.466230936819173</c:v>
                </c:pt>
                <c:pt idx="388">
                  <c:v>70.521861777150917</c:v>
                </c:pt>
                <c:pt idx="389">
                  <c:v>58.207217694994178</c:v>
                </c:pt>
                <c:pt idx="390">
                  <c:v>55.126791620727673</c:v>
                </c:pt>
                <c:pt idx="391">
                  <c:v>55.865921787709503</c:v>
                </c:pt>
                <c:pt idx="392">
                  <c:v>48.638132295719849</c:v>
                </c:pt>
                <c:pt idx="393">
                  <c:v>55.865921787709503</c:v>
                </c:pt>
                <c:pt idx="394">
                  <c:v>48.638132295719849</c:v>
                </c:pt>
                <c:pt idx="395">
                  <c:v>48.638132295719849</c:v>
                </c:pt>
                <c:pt idx="396">
                  <c:v>48.638132295719849</c:v>
                </c:pt>
                <c:pt idx="397">
                  <c:v>48.638132295719849</c:v>
                </c:pt>
                <c:pt idx="398">
                  <c:v>54.945054945054949</c:v>
                </c:pt>
                <c:pt idx="399">
                  <c:v>54.945054945054949</c:v>
                </c:pt>
                <c:pt idx="400">
                  <c:v>50.994390617032131</c:v>
                </c:pt>
                <c:pt idx="401">
                  <c:v>48.638132295719849</c:v>
                </c:pt>
                <c:pt idx="402">
                  <c:v>52.246603970741901</c:v>
                </c:pt>
                <c:pt idx="403">
                  <c:v>54.945054945054949</c:v>
                </c:pt>
                <c:pt idx="404">
                  <c:v>71.17437722419929</c:v>
                </c:pt>
                <c:pt idx="405">
                  <c:v>58.719906048150321</c:v>
                </c:pt>
                <c:pt idx="406">
                  <c:v>50.916496945010181</c:v>
                </c:pt>
                <c:pt idx="407">
                  <c:v>50.916496945010181</c:v>
                </c:pt>
                <c:pt idx="408">
                  <c:v>56.369785794813986</c:v>
                </c:pt>
                <c:pt idx="409">
                  <c:v>49.091801669121253</c:v>
                </c:pt>
                <c:pt idx="410">
                  <c:v>56.369785794813986</c:v>
                </c:pt>
                <c:pt idx="411">
                  <c:v>49.091801669121253</c:v>
                </c:pt>
                <c:pt idx="412">
                  <c:v>49.091801669121253</c:v>
                </c:pt>
                <c:pt idx="413">
                  <c:v>49.091801669121253</c:v>
                </c:pt>
                <c:pt idx="414">
                  <c:v>49.091801669121253</c:v>
                </c:pt>
                <c:pt idx="415">
                  <c:v>55.463117027176921</c:v>
                </c:pt>
                <c:pt idx="416">
                  <c:v>55.463117027176921</c:v>
                </c:pt>
                <c:pt idx="417">
                  <c:v>51.466803911477101</c:v>
                </c:pt>
                <c:pt idx="418">
                  <c:v>49.091801669121253</c:v>
                </c:pt>
                <c:pt idx="419">
                  <c:v>52.714812862414341</c:v>
                </c:pt>
                <c:pt idx="420">
                  <c:v>55.463117027176921</c:v>
                </c:pt>
                <c:pt idx="421">
                  <c:v>71.839080459770116</c:v>
                </c:pt>
                <c:pt idx="422">
                  <c:v>59.276822762299936</c:v>
                </c:pt>
                <c:pt idx="423">
                  <c:v>51.387461459403902</c:v>
                </c:pt>
                <c:pt idx="424">
                  <c:v>51.387461459403902</c:v>
                </c:pt>
                <c:pt idx="425">
                  <c:v>51.387461459403902</c:v>
                </c:pt>
                <c:pt idx="426">
                  <c:v>49.529470034670624</c:v>
                </c:pt>
                <c:pt idx="427">
                  <c:v>56.882821387940851</c:v>
                </c:pt>
                <c:pt idx="428">
                  <c:v>56.882821387940851</c:v>
                </c:pt>
                <c:pt idx="429">
                  <c:v>49.529470034670624</c:v>
                </c:pt>
                <c:pt idx="430">
                  <c:v>49.529470034670624</c:v>
                </c:pt>
                <c:pt idx="431">
                  <c:v>55.959709009513148</c:v>
                </c:pt>
                <c:pt idx="432">
                  <c:v>55.959709009513148</c:v>
                </c:pt>
                <c:pt idx="433">
                  <c:v>51.921079958463132</c:v>
                </c:pt>
                <c:pt idx="434">
                  <c:v>53.219797764768494</c:v>
                </c:pt>
                <c:pt idx="435">
                  <c:v>55.959709009513148</c:v>
                </c:pt>
                <c:pt idx="436">
                  <c:v>72.463768115942031</c:v>
                </c:pt>
                <c:pt idx="437">
                  <c:v>59.808612440191389</c:v>
                </c:pt>
                <c:pt idx="438">
                  <c:v>51.840331778123385</c:v>
                </c:pt>
                <c:pt idx="439">
                  <c:v>51.840331778123385</c:v>
                </c:pt>
                <c:pt idx="440">
                  <c:v>51.840331778123385</c:v>
                </c:pt>
                <c:pt idx="441">
                  <c:v>50</c:v>
                </c:pt>
                <c:pt idx="442">
                  <c:v>57.405281285878296</c:v>
                </c:pt>
                <c:pt idx="443">
                  <c:v>57.405281285878296</c:v>
                </c:pt>
                <c:pt idx="444">
                  <c:v>50</c:v>
                </c:pt>
                <c:pt idx="445">
                  <c:v>50</c:v>
                </c:pt>
                <c:pt idx="446">
                  <c:v>56.497175141242941</c:v>
                </c:pt>
                <c:pt idx="447">
                  <c:v>56.497175141242941</c:v>
                </c:pt>
                <c:pt idx="448">
                  <c:v>52.410901467505248</c:v>
                </c:pt>
                <c:pt idx="449">
                  <c:v>53.705692803437159</c:v>
                </c:pt>
                <c:pt idx="450">
                  <c:v>56.497175141242941</c:v>
                </c:pt>
                <c:pt idx="451">
                  <c:v>73.152889539136794</c:v>
                </c:pt>
                <c:pt idx="452">
                  <c:v>60.386473429951693</c:v>
                </c:pt>
                <c:pt idx="453">
                  <c:v>54.024851431658561</c:v>
                </c:pt>
                <c:pt idx="454">
                  <c:v>52.328623757195189</c:v>
                </c:pt>
                <c:pt idx="455">
                  <c:v>52.328623757195189</c:v>
                </c:pt>
                <c:pt idx="456">
                  <c:v>50.479555779909141</c:v>
                </c:pt>
                <c:pt idx="457">
                  <c:v>57.937427578215519</c:v>
                </c:pt>
                <c:pt idx="458">
                  <c:v>57.012542759407076</c:v>
                </c:pt>
                <c:pt idx="459">
                  <c:v>57.012542759407076</c:v>
                </c:pt>
                <c:pt idx="460">
                  <c:v>52.910052910052912</c:v>
                </c:pt>
                <c:pt idx="461">
                  <c:v>54.200542005420054</c:v>
                </c:pt>
                <c:pt idx="462">
                  <c:v>57.012542759407076</c:v>
                </c:pt>
                <c:pt idx="463">
                  <c:v>60.938452163315048</c:v>
                </c:pt>
                <c:pt idx="464">
                  <c:v>54.525627044711015</c:v>
                </c:pt>
                <c:pt idx="465">
                  <c:v>52.826201796090864</c:v>
                </c:pt>
                <c:pt idx="466">
                  <c:v>52.826201796090864</c:v>
                </c:pt>
                <c:pt idx="467">
                  <c:v>58.479532163742682</c:v>
                </c:pt>
                <c:pt idx="468">
                  <c:v>50.942435048395318</c:v>
                </c:pt>
                <c:pt idx="469">
                  <c:v>53.390282968499733</c:v>
                </c:pt>
                <c:pt idx="470">
                  <c:v>55.035773252614192</c:v>
                </c:pt>
                <c:pt idx="471">
                  <c:v>53.333333333333336</c:v>
                </c:pt>
                <c:pt idx="472">
                  <c:v>59.031877213695388</c:v>
                </c:pt>
                <c:pt idx="473">
                  <c:v>55.586436909394109</c:v>
                </c:pt>
                <c:pt idx="474">
                  <c:v>59.630292188431724</c:v>
                </c:pt>
                <c:pt idx="475">
                  <c:v>56.116722783389449</c:v>
                </c:pt>
                <c:pt idx="476">
                  <c:v>51.072522982635348</c:v>
                </c:pt>
                <c:pt idx="477">
                  <c:v>59.031877213695388</c:v>
                </c:pt>
                <c:pt idx="478">
                  <c:v>51.572975760701389</c:v>
                </c:pt>
                <c:pt idx="479">
                  <c:v>51.572975760701389</c:v>
                </c:pt>
                <c:pt idx="480">
                  <c:v>59.594755661501786</c:v>
                </c:pt>
                <c:pt idx="481">
                  <c:v>52.083333333333336</c:v>
                </c:pt>
                <c:pt idx="482">
                  <c:v>52.083333333333336</c:v>
                </c:pt>
                <c:pt idx="483">
                  <c:v>60.204695966285371</c:v>
                </c:pt>
                <c:pt idx="484">
                  <c:v>52.603892688058913</c:v>
                </c:pt>
                <c:pt idx="485">
                  <c:v>52.603892688058913</c:v>
                </c:pt>
                <c:pt idx="486">
                  <c:v>60.790273556231007</c:v>
                </c:pt>
                <c:pt idx="487">
                  <c:v>53.134962805526037</c:v>
                </c:pt>
                <c:pt idx="488">
                  <c:v>53.134962805526037</c:v>
                </c:pt>
                <c:pt idx="489">
                  <c:v>61.425061425061422</c:v>
                </c:pt>
                <c:pt idx="490">
                  <c:v>53.676865271068174</c:v>
                </c:pt>
                <c:pt idx="491">
                  <c:v>54.229934924078087</c:v>
                </c:pt>
                <c:pt idx="492">
                  <c:v>51.493305870236867</c:v>
                </c:pt>
                <c:pt idx="493">
                  <c:v>52.05622071837584</c:v>
                </c:pt>
                <c:pt idx="494">
                  <c:v>52.603892688058913</c:v>
                </c:pt>
                <c:pt idx="495">
                  <c:v>52.603892688058913</c:v>
                </c:pt>
                <c:pt idx="496">
                  <c:v>52.603892688058913</c:v>
                </c:pt>
                <c:pt idx="497">
                  <c:v>52.164840897235258</c:v>
                </c:pt>
                <c:pt idx="498">
                  <c:v>53.191489361702125</c:v>
                </c:pt>
                <c:pt idx="499">
                  <c:v>53.191489361702125</c:v>
                </c:pt>
                <c:pt idx="500">
                  <c:v>53.191489361702125</c:v>
                </c:pt>
                <c:pt idx="501">
                  <c:v>53.191489361702125</c:v>
                </c:pt>
                <c:pt idx="502">
                  <c:v>52.742616033755269</c:v>
                </c:pt>
                <c:pt idx="503">
                  <c:v>53.763440860215049</c:v>
                </c:pt>
                <c:pt idx="504">
                  <c:v>52.882072977260705</c:v>
                </c:pt>
                <c:pt idx="505">
                  <c:v>53.763440860215049</c:v>
                </c:pt>
                <c:pt idx="506">
                  <c:v>53.763440860215049</c:v>
                </c:pt>
                <c:pt idx="507">
                  <c:v>53.763440860215049</c:v>
                </c:pt>
                <c:pt idx="508">
                  <c:v>53.333333333333336</c:v>
                </c:pt>
                <c:pt idx="509">
                  <c:v>54.377379010331701</c:v>
                </c:pt>
                <c:pt idx="510">
                  <c:v>53.475935828877006</c:v>
                </c:pt>
                <c:pt idx="511">
                  <c:v>54.377379010331701</c:v>
                </c:pt>
                <c:pt idx="512">
                  <c:v>54.377379010331701</c:v>
                </c:pt>
                <c:pt idx="513">
                  <c:v>53.937432578209282</c:v>
                </c:pt>
                <c:pt idx="514">
                  <c:v>55.005500550055004</c:v>
                </c:pt>
                <c:pt idx="515">
                  <c:v>54.083288263926448</c:v>
                </c:pt>
                <c:pt idx="516">
                  <c:v>55.005500550055004</c:v>
                </c:pt>
                <c:pt idx="517">
                  <c:v>54.083288263926448</c:v>
                </c:pt>
                <c:pt idx="518">
                  <c:v>55.005500550055004</c:v>
                </c:pt>
                <c:pt idx="519">
                  <c:v>54.083288263926448</c:v>
                </c:pt>
                <c:pt idx="520">
                  <c:v>54.555373704309879</c:v>
                </c:pt>
                <c:pt idx="521">
                  <c:v>54.704595185995622</c:v>
                </c:pt>
                <c:pt idx="522">
                  <c:v>54.704595185995622</c:v>
                </c:pt>
                <c:pt idx="523">
                  <c:v>54.704595185995622</c:v>
                </c:pt>
                <c:pt idx="524">
                  <c:v>55.187637969094922</c:v>
                </c:pt>
                <c:pt idx="525">
                  <c:v>55.340343110127279</c:v>
                </c:pt>
                <c:pt idx="526">
                  <c:v>55.340343110127279</c:v>
                </c:pt>
                <c:pt idx="527">
                  <c:v>55.340343110127279</c:v>
                </c:pt>
                <c:pt idx="528">
                  <c:v>50.709939148073026</c:v>
                </c:pt>
                <c:pt idx="529">
                  <c:v>55.991041433370661</c:v>
                </c:pt>
                <c:pt idx="530">
                  <c:v>55.991041433370661</c:v>
                </c:pt>
                <c:pt idx="531">
                  <c:v>51.759834368530022</c:v>
                </c:pt>
                <c:pt idx="532">
                  <c:v>51.282051282051285</c:v>
                </c:pt>
                <c:pt idx="533">
                  <c:v>61.919504643962853</c:v>
                </c:pt>
                <c:pt idx="534">
                  <c:v>56.657223796033996</c:v>
                </c:pt>
                <c:pt idx="535">
                  <c:v>52.383446830801468</c:v>
                </c:pt>
                <c:pt idx="536">
                  <c:v>56.657223796033996</c:v>
                </c:pt>
                <c:pt idx="537">
                  <c:v>52.383446830801468</c:v>
                </c:pt>
                <c:pt idx="538">
                  <c:v>51.89413596263622</c:v>
                </c:pt>
                <c:pt idx="539">
                  <c:v>52.383446830801468</c:v>
                </c:pt>
                <c:pt idx="540">
                  <c:v>52.383446830801468</c:v>
                </c:pt>
                <c:pt idx="541">
                  <c:v>61.919504643962853</c:v>
                </c:pt>
                <c:pt idx="542">
                  <c:v>62.656641604010019</c:v>
                </c:pt>
                <c:pt idx="543">
                  <c:v>53.022269353128316</c:v>
                </c:pt>
                <c:pt idx="544">
                  <c:v>53.022269353128316</c:v>
                </c:pt>
                <c:pt idx="545">
                  <c:v>53.022269353128316</c:v>
                </c:pt>
                <c:pt idx="546">
                  <c:v>53.022269353128316</c:v>
                </c:pt>
                <c:pt idx="547">
                  <c:v>53.022269353128316</c:v>
                </c:pt>
                <c:pt idx="548">
                  <c:v>52.52100840336135</c:v>
                </c:pt>
                <c:pt idx="549">
                  <c:v>53.022269353128316</c:v>
                </c:pt>
                <c:pt idx="550">
                  <c:v>53.022269353128316</c:v>
                </c:pt>
                <c:pt idx="551">
                  <c:v>62.656641604010019</c:v>
                </c:pt>
                <c:pt idx="552">
                  <c:v>63.411540900443882</c:v>
                </c:pt>
                <c:pt idx="553">
                  <c:v>53.648068669527895</c:v>
                </c:pt>
                <c:pt idx="554">
                  <c:v>53.648068669527895</c:v>
                </c:pt>
                <c:pt idx="555">
                  <c:v>53.648068669527895</c:v>
                </c:pt>
                <c:pt idx="556">
                  <c:v>53.648068669527895</c:v>
                </c:pt>
                <c:pt idx="557">
                  <c:v>53.163211057947905</c:v>
                </c:pt>
                <c:pt idx="558">
                  <c:v>53.648068669527895</c:v>
                </c:pt>
                <c:pt idx="559">
                  <c:v>53.648068669527895</c:v>
                </c:pt>
                <c:pt idx="560">
                  <c:v>63.411540900443882</c:v>
                </c:pt>
                <c:pt idx="561">
                  <c:v>64.184852374839537</c:v>
                </c:pt>
                <c:pt idx="562">
                  <c:v>54.318305268875612</c:v>
                </c:pt>
                <c:pt idx="563">
                  <c:v>54.318305268875612</c:v>
                </c:pt>
                <c:pt idx="564">
                  <c:v>54.318305268875612</c:v>
                </c:pt>
                <c:pt idx="565">
                  <c:v>51.840331778123385</c:v>
                </c:pt>
                <c:pt idx="566">
                  <c:v>53.821313240043061</c:v>
                </c:pt>
                <c:pt idx="567">
                  <c:v>54.318305268875612</c:v>
                </c:pt>
                <c:pt idx="568">
                  <c:v>54.318305268875612</c:v>
                </c:pt>
                <c:pt idx="569">
                  <c:v>64.184852374839537</c:v>
                </c:pt>
                <c:pt idx="570">
                  <c:v>65.019505851755525</c:v>
                </c:pt>
                <c:pt idx="571">
                  <c:v>55.005500550055004</c:v>
                </c:pt>
                <c:pt idx="572">
                  <c:v>55.005500550055004</c:v>
                </c:pt>
                <c:pt idx="573">
                  <c:v>52.493438320209975</c:v>
                </c:pt>
                <c:pt idx="574">
                  <c:v>55.005500550055004</c:v>
                </c:pt>
                <c:pt idx="575">
                  <c:v>55.005500550055004</c:v>
                </c:pt>
                <c:pt idx="576">
                  <c:v>65.019505851755525</c:v>
                </c:pt>
                <c:pt idx="577">
                  <c:v>65.832784726793946</c:v>
                </c:pt>
                <c:pt idx="578">
                  <c:v>55.710306406685241</c:v>
                </c:pt>
                <c:pt idx="579">
                  <c:v>53.163211057947905</c:v>
                </c:pt>
                <c:pt idx="580">
                  <c:v>53.163211057947905</c:v>
                </c:pt>
                <c:pt idx="581">
                  <c:v>55.710306406685241</c:v>
                </c:pt>
                <c:pt idx="582">
                  <c:v>55.710306406685241</c:v>
                </c:pt>
                <c:pt idx="583">
                  <c:v>65.832784726793946</c:v>
                </c:pt>
                <c:pt idx="584">
                  <c:v>53.850296176628973</c:v>
                </c:pt>
                <c:pt idx="585">
                  <c:v>53.850296176628973</c:v>
                </c:pt>
                <c:pt idx="586">
                  <c:v>54.555373704309879</c:v>
                </c:pt>
                <c:pt idx="587">
                  <c:v>52.631578947368418</c:v>
                </c:pt>
                <c:pt idx="588">
                  <c:v>55.248618784530379</c:v>
                </c:pt>
                <c:pt idx="589">
                  <c:v>59.206631142687982</c:v>
                </c:pt>
                <c:pt idx="590">
                  <c:v>53.333333333333336</c:v>
                </c:pt>
                <c:pt idx="591">
                  <c:v>53.333333333333336</c:v>
                </c:pt>
                <c:pt idx="592">
                  <c:v>59.988002399520092</c:v>
                </c:pt>
                <c:pt idx="593">
                  <c:v>69.34812760055479</c:v>
                </c:pt>
                <c:pt idx="594">
                  <c:v>54.054054054054056</c:v>
                </c:pt>
                <c:pt idx="595">
                  <c:v>54.054054054054056</c:v>
                </c:pt>
                <c:pt idx="596">
                  <c:v>60.8272506082725</c:v>
                </c:pt>
                <c:pt idx="597">
                  <c:v>70.274068868587491</c:v>
                </c:pt>
                <c:pt idx="598">
                  <c:v>54.794520547945204</c:v>
                </c:pt>
                <c:pt idx="599">
                  <c:v>54.794520547945204</c:v>
                </c:pt>
                <c:pt idx="600">
                  <c:v>61.652281134401974</c:v>
                </c:pt>
                <c:pt idx="601">
                  <c:v>71.225071225071233</c:v>
                </c:pt>
                <c:pt idx="602">
                  <c:v>55.555555555555557</c:v>
                </c:pt>
                <c:pt idx="603">
                  <c:v>55.555555555555557</c:v>
                </c:pt>
                <c:pt idx="604">
                  <c:v>62.5</c:v>
                </c:pt>
                <c:pt idx="605">
                  <c:v>72.202166064981952</c:v>
                </c:pt>
                <c:pt idx="606">
                  <c:v>56.338028169014088</c:v>
                </c:pt>
                <c:pt idx="607">
                  <c:v>73.260073260073256</c:v>
                </c:pt>
                <c:pt idx="608">
                  <c:v>55.005500550055004</c:v>
                </c:pt>
                <c:pt idx="609">
                  <c:v>55.005500550055004</c:v>
                </c:pt>
                <c:pt idx="610">
                  <c:v>55.83472920156337</c:v>
                </c:pt>
                <c:pt idx="611">
                  <c:v>55.83472920156337</c:v>
                </c:pt>
                <c:pt idx="612">
                  <c:v>56.657223796033996</c:v>
                </c:pt>
                <c:pt idx="613">
                  <c:v>56.657223796033996</c:v>
                </c:pt>
                <c:pt idx="614">
                  <c:v>57.537399309551212</c:v>
                </c:pt>
                <c:pt idx="615">
                  <c:v>57.537399309551212</c:v>
                </c:pt>
                <c:pt idx="616">
                  <c:v>58.445353594389246</c:v>
                </c:pt>
                <c:pt idx="617">
                  <c:v>58.445353594389246</c:v>
                </c:pt>
                <c:pt idx="618">
                  <c:v>59.382422802850357</c:v>
                </c:pt>
                <c:pt idx="619">
                  <c:v>49.285362247412522</c:v>
                </c:pt>
                <c:pt idx="620">
                  <c:v>49.652432969215489</c:v>
                </c:pt>
                <c:pt idx="621">
                  <c:v>50</c:v>
                </c:pt>
                <c:pt idx="622">
                  <c:v>50.352467270896277</c:v>
                </c:pt>
                <c:pt idx="623">
                  <c:v>51.020408163265301</c:v>
                </c:pt>
                <c:pt idx="624">
                  <c:v>50.735667174023334</c:v>
                </c:pt>
                <c:pt idx="625">
                  <c:v>51.413881748071979</c:v>
                </c:pt>
                <c:pt idx="626">
                  <c:v>51.098620337250892</c:v>
                </c:pt>
                <c:pt idx="627">
                  <c:v>51.786639047125846</c:v>
                </c:pt>
                <c:pt idx="628">
                  <c:v>42.535091450446615</c:v>
                </c:pt>
                <c:pt idx="629">
                  <c:v>52.192066805845513</c:v>
                </c:pt>
                <c:pt idx="630">
                  <c:v>42.863266180882988</c:v>
                </c:pt>
                <c:pt idx="631">
                  <c:v>50.377833753148614</c:v>
                </c:pt>
                <c:pt idx="632">
                  <c:v>52.576235541535226</c:v>
                </c:pt>
                <c:pt idx="633">
                  <c:v>43.177892918825563</c:v>
                </c:pt>
                <c:pt idx="634">
                  <c:v>50.761421319796959</c:v>
                </c:pt>
                <c:pt idx="635">
                  <c:v>50.761421319796959</c:v>
                </c:pt>
                <c:pt idx="636">
                  <c:v>52.96610169491526</c:v>
                </c:pt>
                <c:pt idx="637">
                  <c:v>43.516100957354219</c:v>
                </c:pt>
                <c:pt idx="638">
                  <c:v>51.150895140664957</c:v>
                </c:pt>
                <c:pt idx="639">
                  <c:v>51.150895140664957</c:v>
                </c:pt>
                <c:pt idx="640">
                  <c:v>51.546391752577321</c:v>
                </c:pt>
                <c:pt idx="641">
                  <c:v>51.546391752577321</c:v>
                </c:pt>
                <c:pt idx="642">
                  <c:v>51.948051948051948</c:v>
                </c:pt>
                <c:pt idx="643">
                  <c:v>52.356020942408371</c:v>
                </c:pt>
                <c:pt idx="644">
                  <c:v>42.771599657827203</c:v>
                </c:pt>
                <c:pt idx="645">
                  <c:v>43.196544276457885</c:v>
                </c:pt>
                <c:pt idx="646">
                  <c:v>42.426813746287657</c:v>
                </c:pt>
                <c:pt idx="647">
                  <c:v>43.630017452006975</c:v>
                </c:pt>
                <c:pt idx="648">
                  <c:v>42.863266180882988</c:v>
                </c:pt>
                <c:pt idx="649">
                  <c:v>43.290043290043286</c:v>
                </c:pt>
                <c:pt idx="650">
                  <c:v>43.290043290043286</c:v>
                </c:pt>
                <c:pt idx="651">
                  <c:v>44.326241134751776</c:v>
                </c:pt>
                <c:pt idx="652">
                  <c:v>44.326241134751776</c:v>
                </c:pt>
                <c:pt idx="653">
                  <c:v>50.505050505050505</c:v>
                </c:pt>
                <c:pt idx="654">
                  <c:v>43.744531933508313</c:v>
                </c:pt>
                <c:pt idx="655">
                  <c:v>43.744531933508313</c:v>
                </c:pt>
                <c:pt idx="656">
                  <c:v>44.782803403493062</c:v>
                </c:pt>
                <c:pt idx="657">
                  <c:v>44.782803403493062</c:v>
                </c:pt>
                <c:pt idx="658">
                  <c:v>51.046452271567127</c:v>
                </c:pt>
                <c:pt idx="659">
                  <c:v>44.208664898320066</c:v>
                </c:pt>
                <c:pt idx="660">
                  <c:v>44.208664898320066</c:v>
                </c:pt>
                <c:pt idx="661">
                  <c:v>45.269352648257133</c:v>
                </c:pt>
                <c:pt idx="662">
                  <c:v>45.269352648257133</c:v>
                </c:pt>
                <c:pt idx="663">
                  <c:v>51.572975760701389</c:v>
                </c:pt>
                <c:pt idx="664">
                  <c:v>45.475216007276039</c:v>
                </c:pt>
                <c:pt idx="665">
                  <c:v>44.682752457551388</c:v>
                </c:pt>
                <c:pt idx="666">
                  <c:v>44.682752457551388</c:v>
                </c:pt>
                <c:pt idx="667">
                  <c:v>45.745654162854528</c:v>
                </c:pt>
                <c:pt idx="668">
                  <c:v>45.745654162854528</c:v>
                </c:pt>
                <c:pt idx="669">
                  <c:v>45.745654162854528</c:v>
                </c:pt>
                <c:pt idx="670">
                  <c:v>52.137643378519293</c:v>
                </c:pt>
                <c:pt idx="671">
                  <c:v>52.137643378519293</c:v>
                </c:pt>
                <c:pt idx="672">
                  <c:v>45.955882352941174</c:v>
                </c:pt>
                <c:pt idx="673">
                  <c:v>44.091710758377424</c:v>
                </c:pt>
                <c:pt idx="674">
                  <c:v>45.167118337850042</c:v>
                </c:pt>
                <c:pt idx="675">
                  <c:v>46.232085067036529</c:v>
                </c:pt>
                <c:pt idx="676">
                  <c:v>46.232085067036529</c:v>
                </c:pt>
                <c:pt idx="677">
                  <c:v>46.232085067036529</c:v>
                </c:pt>
                <c:pt idx="678">
                  <c:v>46.446818392940081</c:v>
                </c:pt>
                <c:pt idx="679">
                  <c:v>52.687038988408851</c:v>
                </c:pt>
                <c:pt idx="680">
                  <c:v>52.687038988408851</c:v>
                </c:pt>
                <c:pt idx="681">
                  <c:v>46.446818392940081</c:v>
                </c:pt>
                <c:pt idx="682">
                  <c:v>44.563279857397504</c:v>
                </c:pt>
                <c:pt idx="683">
                  <c:v>45.662100456621005</c:v>
                </c:pt>
                <c:pt idx="684">
                  <c:v>46.728971962616825</c:v>
                </c:pt>
                <c:pt idx="685">
                  <c:v>46.728971962616825</c:v>
                </c:pt>
                <c:pt idx="686">
                  <c:v>46.728971962616825</c:v>
                </c:pt>
                <c:pt idx="687">
                  <c:v>46.948356807511736</c:v>
                </c:pt>
                <c:pt idx="688">
                  <c:v>46.948356807511736</c:v>
                </c:pt>
                <c:pt idx="689">
                  <c:v>53.248136315228962</c:v>
                </c:pt>
                <c:pt idx="690">
                  <c:v>53.248136315228962</c:v>
                </c:pt>
                <c:pt idx="691">
                  <c:v>46.948356807511736</c:v>
                </c:pt>
                <c:pt idx="692">
                  <c:v>45.045045045045043</c:v>
                </c:pt>
                <c:pt idx="693">
                  <c:v>47.258979206049148</c:v>
                </c:pt>
                <c:pt idx="694">
                  <c:v>47.258979206049148</c:v>
                </c:pt>
                <c:pt idx="695">
                  <c:v>47.258979206049148</c:v>
                </c:pt>
                <c:pt idx="696">
                  <c:v>47.483380816714153</c:v>
                </c:pt>
                <c:pt idx="697">
                  <c:v>47.483380816714153</c:v>
                </c:pt>
                <c:pt idx="698">
                  <c:v>52.742616033755269</c:v>
                </c:pt>
                <c:pt idx="699">
                  <c:v>53.850296176628973</c:v>
                </c:pt>
                <c:pt idx="700">
                  <c:v>47.483380816714153</c:v>
                </c:pt>
                <c:pt idx="701">
                  <c:v>45.703839122486293</c:v>
                </c:pt>
                <c:pt idx="702">
                  <c:v>45.558086560364465</c:v>
                </c:pt>
                <c:pt idx="703">
                  <c:v>45.558086560364465</c:v>
                </c:pt>
                <c:pt idx="704">
                  <c:v>47.778308647873864</c:v>
                </c:pt>
                <c:pt idx="705">
                  <c:v>47.778308647873864</c:v>
                </c:pt>
                <c:pt idx="706">
                  <c:v>47.778308647873864</c:v>
                </c:pt>
                <c:pt idx="707">
                  <c:v>48.007681228996645</c:v>
                </c:pt>
                <c:pt idx="708">
                  <c:v>48.007681228996645</c:v>
                </c:pt>
                <c:pt idx="709">
                  <c:v>53.333333333333336</c:v>
                </c:pt>
                <c:pt idx="710">
                  <c:v>54.436581382689162</c:v>
                </c:pt>
                <c:pt idx="711">
                  <c:v>46.232085067036529</c:v>
                </c:pt>
                <c:pt idx="712">
                  <c:v>46.232085067036529</c:v>
                </c:pt>
                <c:pt idx="713">
                  <c:v>46.232085067036529</c:v>
                </c:pt>
                <c:pt idx="714">
                  <c:v>46.061722708429294</c:v>
                </c:pt>
                <c:pt idx="715">
                  <c:v>48.309178743961354</c:v>
                </c:pt>
                <c:pt idx="716">
                  <c:v>48.543689320388346</c:v>
                </c:pt>
                <c:pt idx="717">
                  <c:v>53.937432578209282</c:v>
                </c:pt>
                <c:pt idx="718">
                  <c:v>55.066079295154182</c:v>
                </c:pt>
                <c:pt idx="719">
                  <c:v>46.750818139317438</c:v>
                </c:pt>
                <c:pt idx="720">
                  <c:v>46.750818139317438</c:v>
                </c:pt>
                <c:pt idx="721">
                  <c:v>46.750818139317438</c:v>
                </c:pt>
                <c:pt idx="722">
                  <c:v>46.598322460391422</c:v>
                </c:pt>
                <c:pt idx="723">
                  <c:v>48.851978505129459</c:v>
                </c:pt>
                <c:pt idx="724">
                  <c:v>54.555373704309879</c:v>
                </c:pt>
                <c:pt idx="725">
                  <c:v>55.679287305122493</c:v>
                </c:pt>
                <c:pt idx="726">
                  <c:v>47.281323877068559</c:v>
                </c:pt>
                <c:pt idx="727">
                  <c:v>47.281323877068559</c:v>
                </c:pt>
                <c:pt idx="728">
                  <c:v>47.281323877068559</c:v>
                </c:pt>
                <c:pt idx="729">
                  <c:v>47.281323877068559</c:v>
                </c:pt>
                <c:pt idx="730">
                  <c:v>47.125353440150803</c:v>
                </c:pt>
                <c:pt idx="731">
                  <c:v>47.824007651841221</c:v>
                </c:pt>
                <c:pt idx="732">
                  <c:v>47.824007651841221</c:v>
                </c:pt>
                <c:pt idx="733">
                  <c:v>47.824007651841221</c:v>
                </c:pt>
                <c:pt idx="734">
                  <c:v>47.824007651841221</c:v>
                </c:pt>
                <c:pt idx="735">
                  <c:v>47.824007651841221</c:v>
                </c:pt>
                <c:pt idx="736">
                  <c:v>58.377116170461186</c:v>
                </c:pt>
                <c:pt idx="737">
                  <c:v>55.803571428571423</c:v>
                </c:pt>
                <c:pt idx="738">
                  <c:v>48.379293662312527</c:v>
                </c:pt>
                <c:pt idx="739">
                  <c:v>48.379293662312527</c:v>
                </c:pt>
                <c:pt idx="740">
                  <c:v>48.379293662312527</c:v>
                </c:pt>
                <c:pt idx="741">
                  <c:v>48.379293662312527</c:v>
                </c:pt>
                <c:pt idx="742">
                  <c:v>48.947626040137052</c:v>
                </c:pt>
                <c:pt idx="743">
                  <c:v>48.947626040137052</c:v>
                </c:pt>
                <c:pt idx="744">
                  <c:v>48.947626040137052</c:v>
                </c:pt>
                <c:pt idx="745">
                  <c:v>48.947626040137052</c:v>
                </c:pt>
                <c:pt idx="746">
                  <c:v>49.529470034670624</c:v>
                </c:pt>
                <c:pt idx="747">
                  <c:v>49.529470034670624</c:v>
                </c:pt>
                <c:pt idx="748">
                  <c:v>49.529470034670624</c:v>
                </c:pt>
                <c:pt idx="749">
                  <c:v>49.529470034670624</c:v>
                </c:pt>
                <c:pt idx="750">
                  <c:v>50.125313283208023</c:v>
                </c:pt>
                <c:pt idx="751">
                  <c:v>50.125313283208023</c:v>
                </c:pt>
                <c:pt idx="752">
                  <c:v>56.882821387940851</c:v>
                </c:pt>
                <c:pt idx="753">
                  <c:v>58.139534883720934</c:v>
                </c:pt>
                <c:pt idx="754">
                  <c:v>59.031877213695388</c:v>
                </c:pt>
                <c:pt idx="755">
                  <c:v>61.236987140232706</c:v>
                </c:pt>
                <c:pt idx="756">
                  <c:v>63.81620931716656</c:v>
                </c:pt>
                <c:pt idx="757">
                  <c:v>64.267352185089976</c:v>
                </c:pt>
                <c:pt idx="758">
                  <c:v>65.231572080887148</c:v>
                </c:pt>
                <c:pt idx="759">
                  <c:v>66.181336863004631</c:v>
                </c:pt>
                <c:pt idx="760">
                  <c:v>66.181336863004631</c:v>
                </c:pt>
                <c:pt idx="761">
                  <c:v>67.159167226326389</c:v>
                </c:pt>
                <c:pt idx="762">
                  <c:v>68.166325835037497</c:v>
                </c:pt>
                <c:pt idx="763">
                  <c:v>69.252077562326875</c:v>
                </c:pt>
                <c:pt idx="764">
                  <c:v>70.323488045007025</c:v>
                </c:pt>
                <c:pt idx="765">
                  <c:v>64.391500321957508</c:v>
                </c:pt>
                <c:pt idx="766">
                  <c:v>65.530799475753611</c:v>
                </c:pt>
                <c:pt idx="767">
                  <c:v>58.241118229469997</c:v>
                </c:pt>
                <c:pt idx="768">
                  <c:v>66.666666666666671</c:v>
                </c:pt>
                <c:pt idx="769">
                  <c:v>63.171193935565384</c:v>
                </c:pt>
                <c:pt idx="770">
                  <c:v>59.276822762299936</c:v>
                </c:pt>
                <c:pt idx="771">
                  <c:v>67.84260515603799</c:v>
                </c:pt>
                <c:pt idx="772">
                  <c:v>64.267352185089976</c:v>
                </c:pt>
                <c:pt idx="773">
                  <c:v>60.350030175015085</c:v>
                </c:pt>
                <c:pt idx="774">
                  <c:v>65.44502617801048</c:v>
                </c:pt>
                <c:pt idx="775">
                  <c:v>69.108500345542495</c:v>
                </c:pt>
                <c:pt idx="776">
                  <c:v>65.44502617801048</c:v>
                </c:pt>
                <c:pt idx="777">
                  <c:v>66.181336863004631</c:v>
                </c:pt>
                <c:pt idx="778">
                  <c:v>67.658998646820024</c:v>
                </c:pt>
                <c:pt idx="779">
                  <c:v>61.462814996926859</c:v>
                </c:pt>
                <c:pt idx="780">
                  <c:v>66.666666666666671</c:v>
                </c:pt>
                <c:pt idx="781">
                  <c:v>66.666666666666671</c:v>
                </c:pt>
                <c:pt idx="782">
                  <c:v>67.385444743935309</c:v>
                </c:pt>
                <c:pt idx="783">
                  <c:v>68.870523415977956</c:v>
                </c:pt>
                <c:pt idx="784">
                  <c:v>68.870523415977956</c:v>
                </c:pt>
                <c:pt idx="785">
                  <c:v>62.656641604010019</c:v>
                </c:pt>
                <c:pt idx="786">
                  <c:v>67.934782608695656</c:v>
                </c:pt>
                <c:pt idx="787">
                  <c:v>67.934782608695656</c:v>
                </c:pt>
                <c:pt idx="788">
                  <c:v>68.681318681318686</c:v>
                </c:pt>
                <c:pt idx="789">
                  <c:v>70.921985815602838</c:v>
                </c:pt>
                <c:pt idx="790">
                  <c:v>68.681318681318686</c:v>
                </c:pt>
                <c:pt idx="791">
                  <c:v>69.832402234636874</c:v>
                </c:pt>
                <c:pt idx="792">
                  <c:v>74.738415545590428</c:v>
                </c:pt>
                <c:pt idx="793">
                  <c:v>70.175438596491233</c:v>
                </c:pt>
                <c:pt idx="794">
                  <c:v>70.175438596491233</c:v>
                </c:pt>
                <c:pt idx="795">
                  <c:v>63.856960408684543</c:v>
                </c:pt>
                <c:pt idx="796">
                  <c:v>69.252077562326875</c:v>
                </c:pt>
                <c:pt idx="797">
                  <c:v>75.018754688672161</c:v>
                </c:pt>
                <c:pt idx="798">
                  <c:v>69.979006298110576</c:v>
                </c:pt>
                <c:pt idx="799">
                  <c:v>72.306579898770792</c:v>
                </c:pt>
                <c:pt idx="800">
                  <c:v>69.979006298110576</c:v>
                </c:pt>
                <c:pt idx="801">
                  <c:v>71.17437722419929</c:v>
                </c:pt>
                <c:pt idx="802">
                  <c:v>76.161462300076153</c:v>
                </c:pt>
                <c:pt idx="803">
                  <c:v>71.530758226037193</c:v>
                </c:pt>
                <c:pt idx="804">
                  <c:v>71.530758226037193</c:v>
                </c:pt>
                <c:pt idx="805">
                  <c:v>76.452599388379198</c:v>
                </c:pt>
                <c:pt idx="806">
                  <c:v>71.377587437544605</c:v>
                </c:pt>
                <c:pt idx="807">
                  <c:v>70.571630204657723</c:v>
                </c:pt>
                <c:pt idx="808">
                  <c:v>73.746312684365776</c:v>
                </c:pt>
                <c:pt idx="809">
                  <c:v>71.377587437544605</c:v>
                </c:pt>
                <c:pt idx="810">
                  <c:v>72.568940493468801</c:v>
                </c:pt>
                <c:pt idx="811">
                  <c:v>77.639751552795033</c:v>
                </c:pt>
                <c:pt idx="812">
                  <c:v>72.939460247994163</c:v>
                </c:pt>
                <c:pt idx="813">
                  <c:v>78.003120124804994</c:v>
                </c:pt>
                <c:pt idx="814">
                  <c:v>72.780203784570602</c:v>
                </c:pt>
                <c:pt idx="815">
                  <c:v>78.003120124804994</c:v>
                </c:pt>
                <c:pt idx="816">
                  <c:v>71.994240460763137</c:v>
                </c:pt>
                <c:pt idx="817">
                  <c:v>74.019245003700959</c:v>
                </c:pt>
                <c:pt idx="818">
                  <c:v>79.176563737133804</c:v>
                </c:pt>
                <c:pt idx="819">
                  <c:v>79.617834394904449</c:v>
                </c:pt>
                <c:pt idx="820">
                  <c:v>74.294205052005935</c:v>
                </c:pt>
                <c:pt idx="821">
                  <c:v>79.617834394904449</c:v>
                </c:pt>
                <c:pt idx="822">
                  <c:v>73.475385745775171</c:v>
                </c:pt>
                <c:pt idx="823">
                  <c:v>75.528700906344412</c:v>
                </c:pt>
                <c:pt idx="824">
                  <c:v>77.579519006982153</c:v>
                </c:pt>
                <c:pt idx="825">
                  <c:v>81.234768480909821</c:v>
                </c:pt>
                <c:pt idx="826">
                  <c:v>75.018754688672161</c:v>
                </c:pt>
                <c:pt idx="827">
                  <c:v>79.176563737133804</c:v>
                </c:pt>
                <c:pt idx="828">
                  <c:v>82.987551867219906</c:v>
                </c:pt>
                <c:pt idx="829">
                  <c:v>76.569678407350693</c:v>
                </c:pt>
                <c:pt idx="830">
                  <c:v>80.840743734842363</c:v>
                </c:pt>
                <c:pt idx="831">
                  <c:v>84.817642069550473</c:v>
                </c:pt>
                <c:pt idx="832">
                  <c:v>82.57638315441784</c:v>
                </c:pt>
                <c:pt idx="833">
                  <c:v>86.655112651646448</c:v>
                </c:pt>
                <c:pt idx="834">
                  <c:v>84.459459459459467</c:v>
                </c:pt>
                <c:pt idx="835">
                  <c:v>88.652482269503551</c:v>
                </c:pt>
                <c:pt idx="836">
                  <c:v>90.66183136899366</c:v>
                </c:pt>
                <c:pt idx="837">
                  <c:v>92.850510677808728</c:v>
                </c:pt>
                <c:pt idx="838">
                  <c:v>95.147478591817318</c:v>
                </c:pt>
                <c:pt idx="839">
                  <c:v>97.465886939571149</c:v>
                </c:pt>
                <c:pt idx="840">
                  <c:v>74.515648286140092</c:v>
                </c:pt>
                <c:pt idx="841">
                  <c:v>76.39419404125286</c:v>
                </c:pt>
                <c:pt idx="842">
                  <c:v>78.431372549019613</c:v>
                </c:pt>
                <c:pt idx="843">
                  <c:v>84.317032040472185</c:v>
                </c:pt>
                <c:pt idx="844">
                  <c:v>84.317032040472185</c:v>
                </c:pt>
                <c:pt idx="845">
                  <c:v>92.936802973977692</c:v>
                </c:pt>
                <c:pt idx="846">
                  <c:v>83.752093802345058</c:v>
                </c:pt>
                <c:pt idx="847">
                  <c:v>86.655112651646448</c:v>
                </c:pt>
                <c:pt idx="848">
                  <c:v>86.655112651646448</c:v>
                </c:pt>
                <c:pt idx="849">
                  <c:v>95.510983763132757</c:v>
                </c:pt>
                <c:pt idx="850">
                  <c:v>86.132644272179164</c:v>
                </c:pt>
                <c:pt idx="851">
                  <c:v>86.132644272179164</c:v>
                </c:pt>
                <c:pt idx="852">
                  <c:v>89.126559714795007</c:v>
                </c:pt>
                <c:pt idx="853">
                  <c:v>89.126559714795007</c:v>
                </c:pt>
                <c:pt idx="854">
                  <c:v>88.57395925597875</c:v>
                </c:pt>
                <c:pt idx="855">
                  <c:v>88.57395925597875</c:v>
                </c:pt>
                <c:pt idx="856">
                  <c:v>91.743119266055047</c:v>
                </c:pt>
                <c:pt idx="857">
                  <c:v>91.157702825888776</c:v>
                </c:pt>
                <c:pt idx="858">
                  <c:v>91.157702825888776</c:v>
                </c:pt>
                <c:pt idx="859">
                  <c:v>94.517958412098295</c:v>
                </c:pt>
                <c:pt idx="860">
                  <c:v>93.896713615023472</c:v>
                </c:pt>
                <c:pt idx="861">
                  <c:v>97.465886939571149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306-4D2E-BED7-76B87EA6B4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73368208"/>
        <c:axId val="473357168"/>
      </c:scatterChart>
      <c:valAx>
        <c:axId val="473368208"/>
        <c:scaling>
          <c:orientation val="minMax"/>
          <c:max val="2030"/>
          <c:min val="1995"/>
        </c:scaling>
        <c:delete val="0"/>
        <c:axPos val="b"/>
        <c:majorGridlines>
          <c:spPr>
            <a:ln>
              <a:noFill/>
            </a:ln>
          </c:spPr>
        </c:majorGridlines>
        <c:minorGridlines>
          <c:spPr>
            <a:ln>
              <a:noFill/>
            </a:ln>
          </c:spPr>
        </c:minorGridlines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473357168"/>
        <c:crosses val="autoZero"/>
        <c:crossBetween val="midCat"/>
        <c:majorUnit val="5"/>
      </c:valAx>
      <c:valAx>
        <c:axId val="473357168"/>
        <c:scaling>
          <c:orientation val="minMax"/>
          <c:max val="110"/>
          <c:min val="40"/>
        </c:scaling>
        <c:delete val="0"/>
        <c:axPos val="l"/>
        <c:majorGridlines>
          <c:spPr>
            <a:ln>
              <a:solidFill>
                <a:schemeClr val="tx1">
                  <a:tint val="50000"/>
                </a:schemeClr>
              </a:solidFill>
            </a:ln>
          </c:spPr>
        </c:majorGridlines>
        <c:minorGridlines>
          <c:spPr>
            <a:ln>
              <a:noFill/>
            </a:ln>
          </c:spPr>
        </c:minorGridlines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tonnes/MW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crossAx val="473368208"/>
        <c:crosses val="autoZero"/>
        <c:crossBetween val="midCat"/>
      </c:valAx>
      <c:spPr>
        <a:noFill/>
        <a:ln>
          <a:solidFill>
            <a:schemeClr val="tx1">
              <a:tint val="50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59942400781030691"/>
          <c:y val="0.12803183586811642"/>
          <c:w val="0.36253977948864202"/>
          <c:h val="0.10968006458932361"/>
        </c:manualLayout>
      </c:layout>
      <c:overlay val="0"/>
    </c:legend>
    <c:plotVisOnly val="1"/>
    <c:dispBlanksAs val="gap"/>
    <c:showDLblsOverMax val="0"/>
    <c:extLst/>
  </c:chart>
  <c:spPr>
    <a:solidFill>
      <a:schemeClr val="lt1"/>
    </a:solidFill>
    <a:ln w="1270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 sz="1400"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190500</xdr:colOff>
      <xdr:row>3</xdr:row>
      <xdr:rowOff>171450</xdr:rowOff>
    </xdr:from>
    <xdr:to>
      <xdr:col>21</xdr:col>
      <xdr:colOff>171449</xdr:colOff>
      <xdr:row>29</xdr:row>
      <xdr:rowOff>9524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C841FC-3721-462E-A9D5-955BA69215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intef-my.sharepoint.com/personal/nagarajan_ganesan_sintef_no/Documents/14.Publication/Submission/EOL-Si/powerToMass/1-s2.0-S2666386426001141-mmc1.xlsx" TargetMode="External"/><Relationship Id="rId1" Type="http://schemas.openxmlformats.org/officeDocument/2006/relationships/externalLinkPath" Target="https://sintef-my.sharepoint.com/personal/nagarajan_ganesan_sintef_no/Documents/14.Publication/Submission/EOL-Si/powerToMass/1-s2.0-S2666386426001141-mmc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gure 1"/>
      <sheetName val="Sheet1"/>
      <sheetName val="Sheet3"/>
      <sheetName val="Sheet2"/>
      <sheetName val="Sheet4"/>
    </sheetNames>
    <sheetDataSet>
      <sheetData sheetId="0">
        <row r="2">
          <cell r="B2">
            <v>2023</v>
          </cell>
          <cell r="G2">
            <v>18.54</v>
          </cell>
        </row>
        <row r="3">
          <cell r="B3">
            <v>2023</v>
          </cell>
          <cell r="G3">
            <v>18.41</v>
          </cell>
        </row>
        <row r="4">
          <cell r="B4">
            <v>2023</v>
          </cell>
          <cell r="G4">
            <v>18.28</v>
          </cell>
        </row>
        <row r="5">
          <cell r="B5">
            <v>2023</v>
          </cell>
          <cell r="G5">
            <v>18.149999999999999</v>
          </cell>
        </row>
        <row r="6">
          <cell r="B6">
            <v>2023</v>
          </cell>
          <cell r="G6">
            <v>18.02</v>
          </cell>
        </row>
        <row r="7">
          <cell r="B7">
            <v>2023</v>
          </cell>
          <cell r="G7">
            <v>17.89</v>
          </cell>
        </row>
        <row r="8">
          <cell r="B8">
            <v>2022</v>
          </cell>
          <cell r="G8">
            <v>18.97</v>
          </cell>
        </row>
        <row r="9">
          <cell r="B9">
            <v>2024</v>
          </cell>
          <cell r="G9">
            <v>19.25</v>
          </cell>
        </row>
        <row r="10">
          <cell r="B10">
            <v>2023</v>
          </cell>
          <cell r="G10">
            <v>18.48</v>
          </cell>
        </row>
        <row r="11">
          <cell r="B11">
            <v>2022</v>
          </cell>
          <cell r="G11">
            <v>18.82</v>
          </cell>
        </row>
        <row r="12">
          <cell r="B12">
            <v>2024</v>
          </cell>
          <cell r="G12">
            <v>19.100000000000001</v>
          </cell>
        </row>
        <row r="13">
          <cell r="B13">
            <v>2023</v>
          </cell>
          <cell r="G13">
            <v>18.34</v>
          </cell>
        </row>
        <row r="14">
          <cell r="B14">
            <v>2022</v>
          </cell>
          <cell r="G14">
            <v>18.68</v>
          </cell>
        </row>
        <row r="15">
          <cell r="B15">
            <v>2024</v>
          </cell>
          <cell r="G15">
            <v>18.96</v>
          </cell>
        </row>
        <row r="16">
          <cell r="B16">
            <v>2023</v>
          </cell>
          <cell r="G16">
            <v>18.190000000000001</v>
          </cell>
        </row>
        <row r="17">
          <cell r="B17">
            <v>2022</v>
          </cell>
          <cell r="G17">
            <v>18.53</v>
          </cell>
        </row>
        <row r="18">
          <cell r="B18">
            <v>2024</v>
          </cell>
          <cell r="G18">
            <v>18.809999999999999</v>
          </cell>
        </row>
        <row r="19">
          <cell r="B19">
            <v>2023</v>
          </cell>
          <cell r="G19">
            <v>18.05</v>
          </cell>
        </row>
        <row r="20">
          <cell r="B20">
            <v>2021</v>
          </cell>
          <cell r="G20">
            <v>20.420000000000002</v>
          </cell>
        </row>
        <row r="21">
          <cell r="B21">
            <v>2022</v>
          </cell>
          <cell r="G21">
            <v>18.38</v>
          </cell>
        </row>
        <row r="22">
          <cell r="B22">
            <v>2024</v>
          </cell>
          <cell r="G22">
            <v>18.66</v>
          </cell>
        </row>
        <row r="23">
          <cell r="B23">
            <v>2023</v>
          </cell>
          <cell r="G23">
            <v>17.91</v>
          </cell>
        </row>
        <row r="24">
          <cell r="B24">
            <v>2021</v>
          </cell>
          <cell r="G24">
            <v>20.260000000000002</v>
          </cell>
        </row>
        <row r="25">
          <cell r="B25">
            <v>2022</v>
          </cell>
          <cell r="G25">
            <v>18.239999999999998</v>
          </cell>
        </row>
        <row r="26">
          <cell r="B26">
            <v>2024</v>
          </cell>
          <cell r="G26">
            <v>19.38</v>
          </cell>
        </row>
        <row r="27">
          <cell r="B27">
            <v>2024</v>
          </cell>
          <cell r="G27">
            <v>18.510000000000002</v>
          </cell>
        </row>
        <row r="28">
          <cell r="B28">
            <v>2023</v>
          </cell>
          <cell r="G28">
            <v>18.399999999999999</v>
          </cell>
        </row>
        <row r="29">
          <cell r="B29">
            <v>2023</v>
          </cell>
          <cell r="G29">
            <v>17.77</v>
          </cell>
        </row>
        <row r="30">
          <cell r="B30">
            <v>2021</v>
          </cell>
          <cell r="G30">
            <v>20.100000000000001</v>
          </cell>
        </row>
        <row r="31">
          <cell r="B31">
            <v>2021</v>
          </cell>
          <cell r="G31">
            <v>21.58</v>
          </cell>
        </row>
        <row r="32">
          <cell r="B32">
            <v>2022</v>
          </cell>
          <cell r="G32">
            <v>18.09</v>
          </cell>
        </row>
        <row r="33">
          <cell r="B33">
            <v>2024</v>
          </cell>
          <cell r="G33">
            <v>19.22</v>
          </cell>
        </row>
        <row r="34">
          <cell r="B34">
            <v>2023</v>
          </cell>
          <cell r="G34">
            <v>18.25</v>
          </cell>
        </row>
        <row r="35">
          <cell r="B35">
            <v>2021</v>
          </cell>
          <cell r="G35">
            <v>19.93</v>
          </cell>
        </row>
        <row r="36">
          <cell r="B36">
            <v>2021</v>
          </cell>
          <cell r="G36">
            <v>21.4</v>
          </cell>
        </row>
        <row r="37">
          <cell r="B37">
            <v>2021</v>
          </cell>
          <cell r="G37">
            <v>18.829999999999998</v>
          </cell>
        </row>
        <row r="38">
          <cell r="B38">
            <v>2022</v>
          </cell>
          <cell r="G38">
            <v>17.940000000000001</v>
          </cell>
        </row>
        <row r="39">
          <cell r="B39">
            <v>2024</v>
          </cell>
          <cell r="G39">
            <v>19.059999999999999</v>
          </cell>
        </row>
        <row r="40">
          <cell r="B40">
            <v>2023</v>
          </cell>
          <cell r="G40">
            <v>18.100000000000001</v>
          </cell>
        </row>
        <row r="41">
          <cell r="B41">
            <v>2021</v>
          </cell>
          <cell r="G41">
            <v>19.77</v>
          </cell>
        </row>
        <row r="42">
          <cell r="B42">
            <v>2021</v>
          </cell>
          <cell r="G42">
            <v>21.23</v>
          </cell>
        </row>
        <row r="43">
          <cell r="B43">
            <v>2021</v>
          </cell>
          <cell r="G43">
            <v>18.670000000000002</v>
          </cell>
        </row>
        <row r="44">
          <cell r="B44">
            <v>2022</v>
          </cell>
          <cell r="G44">
            <v>17.79</v>
          </cell>
        </row>
        <row r="45">
          <cell r="B45">
            <v>2024</v>
          </cell>
          <cell r="G45">
            <v>18.91</v>
          </cell>
        </row>
        <row r="46">
          <cell r="B46">
            <v>2023</v>
          </cell>
          <cell r="G46">
            <v>17.95</v>
          </cell>
        </row>
        <row r="47">
          <cell r="B47">
            <v>2021</v>
          </cell>
          <cell r="G47">
            <v>19.61</v>
          </cell>
        </row>
        <row r="48">
          <cell r="B48">
            <v>2021</v>
          </cell>
          <cell r="G48">
            <v>21.05</v>
          </cell>
        </row>
        <row r="49">
          <cell r="B49">
            <v>2021</v>
          </cell>
          <cell r="G49">
            <v>18.52</v>
          </cell>
        </row>
        <row r="50">
          <cell r="B50">
            <v>2024</v>
          </cell>
          <cell r="G50">
            <v>18.75</v>
          </cell>
        </row>
        <row r="51">
          <cell r="B51">
            <v>2023</v>
          </cell>
          <cell r="G51">
            <v>17.8</v>
          </cell>
        </row>
        <row r="52">
          <cell r="B52">
            <v>2021</v>
          </cell>
          <cell r="G52">
            <v>19.440000000000001</v>
          </cell>
        </row>
        <row r="53">
          <cell r="B53">
            <v>2021</v>
          </cell>
          <cell r="G53">
            <v>18.03</v>
          </cell>
        </row>
        <row r="54">
          <cell r="B54">
            <v>2021</v>
          </cell>
          <cell r="G54">
            <v>20.88</v>
          </cell>
        </row>
        <row r="55">
          <cell r="B55">
            <v>2021</v>
          </cell>
          <cell r="G55">
            <v>18.36</v>
          </cell>
        </row>
        <row r="56">
          <cell r="B56">
            <v>2024</v>
          </cell>
          <cell r="G56">
            <v>18.59</v>
          </cell>
        </row>
        <row r="57">
          <cell r="B57">
            <v>2023</v>
          </cell>
          <cell r="G57">
            <v>17.66</v>
          </cell>
        </row>
        <row r="58">
          <cell r="B58">
            <v>2021</v>
          </cell>
          <cell r="G58">
            <v>18.440000000000001</v>
          </cell>
        </row>
        <row r="59">
          <cell r="B59">
            <v>2021</v>
          </cell>
          <cell r="G59">
            <v>17.88</v>
          </cell>
        </row>
        <row r="60">
          <cell r="B60">
            <v>2021</v>
          </cell>
          <cell r="G60">
            <v>20.7</v>
          </cell>
        </row>
        <row r="61">
          <cell r="B61">
            <v>2021</v>
          </cell>
          <cell r="G61">
            <v>18.21</v>
          </cell>
        </row>
        <row r="62">
          <cell r="B62">
            <v>2023</v>
          </cell>
          <cell r="G62">
            <v>21.85</v>
          </cell>
        </row>
        <row r="63">
          <cell r="B63">
            <v>2023</v>
          </cell>
          <cell r="G63">
            <v>17.510000000000002</v>
          </cell>
        </row>
        <row r="64">
          <cell r="B64">
            <v>2021</v>
          </cell>
          <cell r="G64">
            <v>18.28</v>
          </cell>
        </row>
        <row r="65">
          <cell r="B65">
            <v>2021</v>
          </cell>
          <cell r="G65">
            <v>17.73</v>
          </cell>
        </row>
        <row r="66">
          <cell r="B66">
            <v>2021</v>
          </cell>
          <cell r="G66">
            <v>20.53</v>
          </cell>
        </row>
        <row r="67">
          <cell r="B67">
            <v>2023</v>
          </cell>
          <cell r="G67">
            <v>21.67</v>
          </cell>
        </row>
        <row r="68">
          <cell r="B68">
            <v>2023</v>
          </cell>
          <cell r="G68">
            <v>17.36</v>
          </cell>
        </row>
        <row r="69">
          <cell r="B69">
            <v>2021</v>
          </cell>
          <cell r="G69">
            <v>18.12</v>
          </cell>
        </row>
        <row r="70">
          <cell r="B70">
            <v>2021</v>
          </cell>
          <cell r="G70">
            <v>17.579999999999998</v>
          </cell>
        </row>
        <row r="71">
          <cell r="B71">
            <v>2021</v>
          </cell>
          <cell r="G71">
            <v>20.350000000000001</v>
          </cell>
        </row>
        <row r="72">
          <cell r="B72">
            <v>2023</v>
          </cell>
          <cell r="G72">
            <v>21.48</v>
          </cell>
        </row>
        <row r="73">
          <cell r="B73">
            <v>2021</v>
          </cell>
          <cell r="G73">
            <v>17.97</v>
          </cell>
        </row>
        <row r="74">
          <cell r="B74">
            <v>2021</v>
          </cell>
          <cell r="G74">
            <v>17.420000000000002</v>
          </cell>
        </row>
        <row r="75">
          <cell r="B75">
            <v>2021</v>
          </cell>
          <cell r="G75">
            <v>20.18</v>
          </cell>
        </row>
        <row r="76">
          <cell r="B76">
            <v>2023</v>
          </cell>
          <cell r="G76">
            <v>21.3</v>
          </cell>
        </row>
        <row r="77">
          <cell r="B77">
            <v>2021</v>
          </cell>
          <cell r="G77">
            <v>17.809999999999999</v>
          </cell>
        </row>
        <row r="78">
          <cell r="B78">
            <v>2021</v>
          </cell>
          <cell r="G78">
            <v>17.809999999999999</v>
          </cell>
        </row>
        <row r="79">
          <cell r="B79">
            <v>2021</v>
          </cell>
          <cell r="G79">
            <v>20</v>
          </cell>
        </row>
        <row r="80">
          <cell r="B80">
            <v>2023</v>
          </cell>
          <cell r="G80">
            <v>21.11</v>
          </cell>
        </row>
        <row r="81">
          <cell r="B81">
            <v>2021</v>
          </cell>
          <cell r="G81">
            <v>17.66</v>
          </cell>
        </row>
        <row r="82">
          <cell r="B82">
            <v>2021</v>
          </cell>
          <cell r="G82">
            <v>19.82</v>
          </cell>
        </row>
        <row r="83">
          <cell r="B83">
            <v>2021</v>
          </cell>
          <cell r="G83">
            <v>17.5</v>
          </cell>
        </row>
        <row r="84">
          <cell r="B84">
            <v>2021</v>
          </cell>
          <cell r="G84">
            <v>19.649999999999999</v>
          </cell>
        </row>
        <row r="85">
          <cell r="B85">
            <v>2021</v>
          </cell>
          <cell r="G85">
            <v>17.34</v>
          </cell>
        </row>
        <row r="86">
          <cell r="B86">
            <v>2021</v>
          </cell>
          <cell r="G86">
            <v>17.190000000000001</v>
          </cell>
        </row>
        <row r="87">
          <cell r="B87">
            <v>2024</v>
          </cell>
          <cell r="G87">
            <v>21.49</v>
          </cell>
        </row>
        <row r="88">
          <cell r="B88">
            <v>2024</v>
          </cell>
          <cell r="G88">
            <v>21.28</v>
          </cell>
        </row>
        <row r="89">
          <cell r="B89">
            <v>2021</v>
          </cell>
          <cell r="G89">
            <v>20.62</v>
          </cell>
        </row>
        <row r="90">
          <cell r="B90">
            <v>2024</v>
          </cell>
          <cell r="G90">
            <v>21.06</v>
          </cell>
        </row>
        <row r="91">
          <cell r="B91">
            <v>2022</v>
          </cell>
          <cell r="G91">
            <v>20.420000000000002</v>
          </cell>
        </row>
        <row r="92">
          <cell r="B92">
            <v>2021</v>
          </cell>
          <cell r="G92">
            <v>20.420000000000002</v>
          </cell>
        </row>
        <row r="93">
          <cell r="B93">
            <v>2022</v>
          </cell>
          <cell r="G93">
            <v>20.25</v>
          </cell>
        </row>
        <row r="94">
          <cell r="B94">
            <v>2024</v>
          </cell>
          <cell r="G94">
            <v>20.85</v>
          </cell>
        </row>
        <row r="95">
          <cell r="B95">
            <v>2022</v>
          </cell>
          <cell r="G95">
            <v>20.21</v>
          </cell>
        </row>
        <row r="96">
          <cell r="B96">
            <v>2021</v>
          </cell>
          <cell r="G96">
            <v>20.21</v>
          </cell>
        </row>
        <row r="97">
          <cell r="B97">
            <v>2022</v>
          </cell>
          <cell r="G97">
            <v>20.04</v>
          </cell>
        </row>
        <row r="98">
          <cell r="B98">
            <v>2024</v>
          </cell>
          <cell r="G98">
            <v>20.64</v>
          </cell>
        </row>
        <row r="99">
          <cell r="B99">
            <v>2022</v>
          </cell>
          <cell r="G99">
            <v>20</v>
          </cell>
        </row>
        <row r="100">
          <cell r="B100">
            <v>2021</v>
          </cell>
          <cell r="G100">
            <v>20</v>
          </cell>
        </row>
        <row r="101">
          <cell r="B101">
            <v>2021</v>
          </cell>
          <cell r="G101">
            <v>21.33</v>
          </cell>
        </row>
        <row r="102">
          <cell r="B102">
            <v>2021</v>
          </cell>
          <cell r="G102">
            <v>21.33</v>
          </cell>
        </row>
        <row r="103">
          <cell r="B103">
            <v>2024</v>
          </cell>
          <cell r="G103">
            <v>20.43</v>
          </cell>
        </row>
        <row r="104">
          <cell r="B104">
            <v>2022</v>
          </cell>
          <cell r="G104">
            <v>19.79</v>
          </cell>
        </row>
        <row r="105">
          <cell r="B105">
            <v>2021</v>
          </cell>
          <cell r="G105">
            <v>19.79</v>
          </cell>
        </row>
        <row r="106">
          <cell r="B106">
            <v>2021</v>
          </cell>
          <cell r="G106">
            <v>21.11</v>
          </cell>
        </row>
        <row r="107">
          <cell r="B107">
            <v>2021</v>
          </cell>
          <cell r="G107">
            <v>21.11</v>
          </cell>
        </row>
        <row r="108">
          <cell r="B108">
            <v>2024</v>
          </cell>
          <cell r="G108">
            <v>20.21</v>
          </cell>
        </row>
        <row r="109">
          <cell r="B109">
            <v>2021</v>
          </cell>
          <cell r="G109">
            <v>19.420000000000002</v>
          </cell>
        </row>
        <row r="110">
          <cell r="B110">
            <v>2020</v>
          </cell>
          <cell r="G110">
            <v>19.420000000000002</v>
          </cell>
        </row>
        <row r="111">
          <cell r="B111">
            <v>2022</v>
          </cell>
          <cell r="G111">
            <v>19.579999999999998</v>
          </cell>
        </row>
        <row r="112">
          <cell r="B112">
            <v>2021</v>
          </cell>
          <cell r="G112">
            <v>20.89</v>
          </cell>
        </row>
        <row r="113">
          <cell r="B113">
            <v>2021</v>
          </cell>
          <cell r="G113">
            <v>20.89</v>
          </cell>
        </row>
        <row r="114">
          <cell r="B114">
            <v>2021</v>
          </cell>
          <cell r="G114">
            <v>19.21</v>
          </cell>
        </row>
        <row r="115">
          <cell r="B115">
            <v>2020</v>
          </cell>
          <cell r="G115">
            <v>19.21</v>
          </cell>
        </row>
        <row r="116">
          <cell r="B116">
            <v>2021</v>
          </cell>
          <cell r="G116">
            <v>20.67</v>
          </cell>
        </row>
        <row r="117">
          <cell r="B117">
            <v>2021</v>
          </cell>
          <cell r="G117">
            <v>20.67</v>
          </cell>
        </row>
        <row r="118">
          <cell r="B118">
            <v>2024</v>
          </cell>
          <cell r="G118">
            <v>18.600000000000001</v>
          </cell>
        </row>
        <row r="119">
          <cell r="B119">
            <v>2021</v>
          </cell>
          <cell r="G119">
            <v>19.010000000000002</v>
          </cell>
        </row>
        <row r="120">
          <cell r="B120">
            <v>2021</v>
          </cell>
          <cell r="G120">
            <v>20.440000000000001</v>
          </cell>
        </row>
        <row r="121">
          <cell r="B121">
            <v>2021</v>
          </cell>
          <cell r="G121">
            <v>20.440000000000001</v>
          </cell>
        </row>
        <row r="122">
          <cell r="B122">
            <v>2024</v>
          </cell>
          <cell r="G122">
            <v>18.399999999999999</v>
          </cell>
        </row>
        <row r="123">
          <cell r="B123">
            <v>2021</v>
          </cell>
          <cell r="G123">
            <v>18.8</v>
          </cell>
        </row>
        <row r="124">
          <cell r="B124">
            <v>2024</v>
          </cell>
          <cell r="G124">
            <v>21.67</v>
          </cell>
        </row>
        <row r="125">
          <cell r="B125">
            <v>2024</v>
          </cell>
          <cell r="G125">
            <v>18.2</v>
          </cell>
        </row>
        <row r="126">
          <cell r="B126">
            <v>2024</v>
          </cell>
          <cell r="G126">
            <v>18.2</v>
          </cell>
        </row>
        <row r="127">
          <cell r="B127">
            <v>2021</v>
          </cell>
          <cell r="G127">
            <v>18.600000000000001</v>
          </cell>
        </row>
        <row r="128">
          <cell r="B128">
            <v>2022</v>
          </cell>
          <cell r="G128">
            <v>20.45</v>
          </cell>
        </row>
        <row r="129">
          <cell r="B129">
            <v>2024</v>
          </cell>
          <cell r="G129">
            <v>21.43</v>
          </cell>
        </row>
        <row r="130">
          <cell r="B130">
            <v>2024</v>
          </cell>
          <cell r="G130">
            <v>18</v>
          </cell>
        </row>
        <row r="131">
          <cell r="B131">
            <v>2024</v>
          </cell>
          <cell r="G131">
            <v>18</v>
          </cell>
        </row>
        <row r="132">
          <cell r="B132">
            <v>2022</v>
          </cell>
          <cell r="G132">
            <v>20.23</v>
          </cell>
        </row>
        <row r="133">
          <cell r="B133">
            <v>2022</v>
          </cell>
          <cell r="G133">
            <v>20.23</v>
          </cell>
        </row>
        <row r="134">
          <cell r="B134">
            <v>2022</v>
          </cell>
          <cell r="G134">
            <v>20.23</v>
          </cell>
        </row>
        <row r="135">
          <cell r="B135">
            <v>2022</v>
          </cell>
          <cell r="G135">
            <v>20.23</v>
          </cell>
        </row>
        <row r="136">
          <cell r="B136">
            <v>2023</v>
          </cell>
          <cell r="G136">
            <v>21.19</v>
          </cell>
        </row>
        <row r="137">
          <cell r="B137">
            <v>2024</v>
          </cell>
          <cell r="G137">
            <v>21.19</v>
          </cell>
        </row>
        <row r="138">
          <cell r="B138">
            <v>2024</v>
          </cell>
          <cell r="G138">
            <v>17.8</v>
          </cell>
        </row>
        <row r="139">
          <cell r="B139">
            <v>2024</v>
          </cell>
          <cell r="G139">
            <v>17.8</v>
          </cell>
        </row>
        <row r="140">
          <cell r="B140">
            <v>2022</v>
          </cell>
          <cell r="G140">
            <v>20</v>
          </cell>
        </row>
        <row r="141">
          <cell r="B141">
            <v>2022</v>
          </cell>
          <cell r="G141">
            <v>20</v>
          </cell>
        </row>
        <row r="142">
          <cell r="B142">
            <v>2022</v>
          </cell>
          <cell r="G142">
            <v>20</v>
          </cell>
        </row>
        <row r="143">
          <cell r="B143">
            <v>2022</v>
          </cell>
          <cell r="G143">
            <v>20</v>
          </cell>
        </row>
        <row r="144">
          <cell r="B144">
            <v>2022</v>
          </cell>
          <cell r="G144">
            <v>20</v>
          </cell>
        </row>
        <row r="145">
          <cell r="B145">
            <v>2022</v>
          </cell>
          <cell r="G145">
            <v>20</v>
          </cell>
        </row>
        <row r="146">
          <cell r="B146">
            <v>2023</v>
          </cell>
          <cell r="G146">
            <v>20.95</v>
          </cell>
        </row>
        <row r="147">
          <cell r="B147">
            <v>2024</v>
          </cell>
          <cell r="G147">
            <v>20.95</v>
          </cell>
        </row>
        <row r="148">
          <cell r="B148">
            <v>2024</v>
          </cell>
          <cell r="G148">
            <v>17.600000000000001</v>
          </cell>
        </row>
        <row r="149">
          <cell r="B149">
            <v>2024</v>
          </cell>
          <cell r="G149">
            <v>17.600000000000001</v>
          </cell>
        </row>
        <row r="150">
          <cell r="B150">
            <v>2022</v>
          </cell>
          <cell r="G150">
            <v>19.77</v>
          </cell>
        </row>
        <row r="151">
          <cell r="B151">
            <v>2022</v>
          </cell>
          <cell r="G151">
            <v>19.77</v>
          </cell>
        </row>
        <row r="152">
          <cell r="B152">
            <v>2022</v>
          </cell>
          <cell r="G152">
            <v>19.77</v>
          </cell>
        </row>
        <row r="153">
          <cell r="B153">
            <v>2022</v>
          </cell>
          <cell r="G153">
            <v>19.77</v>
          </cell>
        </row>
        <row r="154">
          <cell r="B154">
            <v>2022</v>
          </cell>
          <cell r="G154">
            <v>19.77</v>
          </cell>
        </row>
        <row r="155">
          <cell r="B155">
            <v>2022</v>
          </cell>
          <cell r="G155">
            <v>19.77</v>
          </cell>
        </row>
        <row r="156">
          <cell r="B156">
            <v>2022</v>
          </cell>
          <cell r="G156">
            <v>19.77</v>
          </cell>
        </row>
        <row r="157">
          <cell r="B157">
            <v>2022</v>
          </cell>
          <cell r="G157">
            <v>19.77</v>
          </cell>
        </row>
        <row r="158">
          <cell r="B158">
            <v>2023</v>
          </cell>
          <cell r="G158">
            <v>20.71</v>
          </cell>
        </row>
        <row r="159">
          <cell r="B159">
            <v>2024</v>
          </cell>
          <cell r="G159">
            <v>20.71</v>
          </cell>
        </row>
        <row r="160">
          <cell r="B160">
            <v>2024</v>
          </cell>
          <cell r="G160">
            <v>17.399999999999999</v>
          </cell>
        </row>
        <row r="161">
          <cell r="B161">
            <v>2022</v>
          </cell>
          <cell r="G161">
            <v>19.55</v>
          </cell>
        </row>
        <row r="162">
          <cell r="B162">
            <v>2022</v>
          </cell>
          <cell r="G162">
            <v>19.55</v>
          </cell>
        </row>
        <row r="163">
          <cell r="B163">
            <v>2022</v>
          </cell>
          <cell r="G163">
            <v>19.55</v>
          </cell>
        </row>
        <row r="164">
          <cell r="B164">
            <v>2022</v>
          </cell>
          <cell r="G164">
            <v>19.55</v>
          </cell>
        </row>
        <row r="165">
          <cell r="B165">
            <v>2022</v>
          </cell>
          <cell r="G165">
            <v>19.55</v>
          </cell>
        </row>
        <row r="166">
          <cell r="B166">
            <v>2022</v>
          </cell>
          <cell r="G166">
            <v>19.55</v>
          </cell>
        </row>
        <row r="167">
          <cell r="B167">
            <v>2021</v>
          </cell>
          <cell r="G167">
            <v>19.55</v>
          </cell>
        </row>
        <row r="168">
          <cell r="B168">
            <v>2022</v>
          </cell>
          <cell r="G168">
            <v>19.55</v>
          </cell>
        </row>
        <row r="169">
          <cell r="B169">
            <v>2022</v>
          </cell>
          <cell r="G169">
            <v>19.55</v>
          </cell>
        </row>
        <row r="170">
          <cell r="B170">
            <v>2023</v>
          </cell>
          <cell r="G170">
            <v>20.48</v>
          </cell>
        </row>
        <row r="171">
          <cell r="B171">
            <v>2024</v>
          </cell>
          <cell r="G171">
            <v>20.48</v>
          </cell>
        </row>
        <row r="172">
          <cell r="B172">
            <v>2022</v>
          </cell>
          <cell r="G172">
            <v>19.32</v>
          </cell>
        </row>
        <row r="173">
          <cell r="B173">
            <v>2022</v>
          </cell>
          <cell r="G173">
            <v>19.32</v>
          </cell>
        </row>
        <row r="174">
          <cell r="B174">
            <v>2022</v>
          </cell>
          <cell r="G174">
            <v>19.32</v>
          </cell>
        </row>
        <row r="175">
          <cell r="B175">
            <v>2022</v>
          </cell>
          <cell r="G175">
            <v>19.32</v>
          </cell>
        </row>
        <row r="176">
          <cell r="B176">
            <v>2022</v>
          </cell>
          <cell r="G176">
            <v>19.32</v>
          </cell>
        </row>
        <row r="177">
          <cell r="B177">
            <v>2021</v>
          </cell>
          <cell r="G177">
            <v>19.32</v>
          </cell>
        </row>
        <row r="178">
          <cell r="B178">
            <v>2022</v>
          </cell>
          <cell r="G178">
            <v>19.32</v>
          </cell>
        </row>
        <row r="179">
          <cell r="B179">
            <v>2022</v>
          </cell>
          <cell r="G179">
            <v>19.32</v>
          </cell>
        </row>
        <row r="180">
          <cell r="B180">
            <v>2023</v>
          </cell>
          <cell r="G180">
            <v>20.239999999999998</v>
          </cell>
        </row>
        <row r="181">
          <cell r="B181">
            <v>2024</v>
          </cell>
          <cell r="G181">
            <v>20.239999999999998</v>
          </cell>
        </row>
        <row r="182">
          <cell r="B182">
            <v>2022</v>
          </cell>
          <cell r="G182">
            <v>19.09</v>
          </cell>
        </row>
        <row r="183">
          <cell r="B183">
            <v>2022</v>
          </cell>
          <cell r="G183">
            <v>19.09</v>
          </cell>
        </row>
        <row r="184">
          <cell r="B184">
            <v>2022</v>
          </cell>
          <cell r="G184">
            <v>19.09</v>
          </cell>
        </row>
        <row r="185">
          <cell r="B185">
            <v>2022</v>
          </cell>
          <cell r="G185">
            <v>19.09</v>
          </cell>
        </row>
        <row r="186">
          <cell r="B186">
            <v>2022</v>
          </cell>
          <cell r="G186">
            <v>19.09</v>
          </cell>
        </row>
        <row r="187">
          <cell r="B187">
            <v>2022</v>
          </cell>
          <cell r="G187">
            <v>19.09</v>
          </cell>
        </row>
        <row r="188">
          <cell r="B188">
            <v>2023</v>
          </cell>
          <cell r="G188">
            <v>20</v>
          </cell>
        </row>
        <row r="189">
          <cell r="B189">
            <v>2021</v>
          </cell>
          <cell r="G189">
            <v>18.86</v>
          </cell>
        </row>
        <row r="190">
          <cell r="B190">
            <v>2022</v>
          </cell>
          <cell r="G190">
            <v>18.86</v>
          </cell>
        </row>
        <row r="191">
          <cell r="B191">
            <v>2022</v>
          </cell>
          <cell r="G191">
            <v>18.86</v>
          </cell>
        </row>
        <row r="192">
          <cell r="B192">
            <v>2022</v>
          </cell>
          <cell r="G192">
            <v>18.86</v>
          </cell>
        </row>
        <row r="193">
          <cell r="B193">
            <v>2022</v>
          </cell>
          <cell r="G193">
            <v>18.86</v>
          </cell>
        </row>
        <row r="194">
          <cell r="B194">
            <v>2023</v>
          </cell>
          <cell r="G194">
            <v>19.760000000000002</v>
          </cell>
        </row>
        <row r="195">
          <cell r="B195">
            <v>2021</v>
          </cell>
          <cell r="G195">
            <v>18.64</v>
          </cell>
        </row>
        <row r="196">
          <cell r="B196">
            <v>2022</v>
          </cell>
          <cell r="G196">
            <v>18.64</v>
          </cell>
        </row>
        <row r="197">
          <cell r="B197">
            <v>2022</v>
          </cell>
          <cell r="G197">
            <v>18.64</v>
          </cell>
        </row>
        <row r="198">
          <cell r="B198">
            <v>2021</v>
          </cell>
          <cell r="G198">
            <v>18.41</v>
          </cell>
        </row>
        <row r="199">
          <cell r="B199">
            <v>2022</v>
          </cell>
          <cell r="G199">
            <v>18.41</v>
          </cell>
        </row>
        <row r="200">
          <cell r="B200">
            <v>2022</v>
          </cell>
          <cell r="G200">
            <v>18.41</v>
          </cell>
        </row>
        <row r="201">
          <cell r="B201">
            <v>2021</v>
          </cell>
          <cell r="G201">
            <v>18.18</v>
          </cell>
        </row>
        <row r="202">
          <cell r="B202">
            <v>2021</v>
          </cell>
          <cell r="G202">
            <v>17.95</v>
          </cell>
        </row>
        <row r="203">
          <cell r="B203">
            <v>2024</v>
          </cell>
          <cell r="G203">
            <v>17.899999999999999</v>
          </cell>
        </row>
        <row r="204">
          <cell r="B204">
            <v>2024</v>
          </cell>
          <cell r="G204">
            <v>19.329999999999998</v>
          </cell>
        </row>
        <row r="205">
          <cell r="B205">
            <v>2024</v>
          </cell>
          <cell r="G205">
            <v>17.78</v>
          </cell>
        </row>
        <row r="206">
          <cell r="B206">
            <v>2024</v>
          </cell>
          <cell r="G206">
            <v>19.2</v>
          </cell>
        </row>
        <row r="207">
          <cell r="B207">
            <v>2024</v>
          </cell>
          <cell r="G207">
            <v>17.649999999999999</v>
          </cell>
        </row>
        <row r="208">
          <cell r="B208">
            <v>2024</v>
          </cell>
          <cell r="G208">
            <v>19.07</v>
          </cell>
        </row>
        <row r="209">
          <cell r="B209">
            <v>2024</v>
          </cell>
          <cell r="G209">
            <v>17.53</v>
          </cell>
        </row>
        <row r="210">
          <cell r="B210">
            <v>2024</v>
          </cell>
          <cell r="G210">
            <v>18.93</v>
          </cell>
        </row>
        <row r="211">
          <cell r="B211">
            <v>2024</v>
          </cell>
          <cell r="G211">
            <v>17.41</v>
          </cell>
        </row>
        <row r="212">
          <cell r="B212">
            <v>2024</v>
          </cell>
          <cell r="G212">
            <v>18.8</v>
          </cell>
        </row>
        <row r="213">
          <cell r="B213">
            <v>2024</v>
          </cell>
          <cell r="G213">
            <v>17.28</v>
          </cell>
        </row>
        <row r="214">
          <cell r="B214">
            <v>2024</v>
          </cell>
          <cell r="G214">
            <v>18.670000000000002</v>
          </cell>
        </row>
        <row r="215">
          <cell r="B215">
            <v>2024</v>
          </cell>
          <cell r="G215">
            <v>17.79</v>
          </cell>
        </row>
        <row r="216">
          <cell r="B216">
            <v>2024</v>
          </cell>
          <cell r="G216">
            <v>18.75</v>
          </cell>
        </row>
        <row r="217">
          <cell r="B217">
            <v>2024</v>
          </cell>
          <cell r="G217">
            <v>17.649999999999999</v>
          </cell>
        </row>
        <row r="218">
          <cell r="B218">
            <v>2024</v>
          </cell>
          <cell r="G218">
            <v>18.59</v>
          </cell>
        </row>
        <row r="219">
          <cell r="B219">
            <v>2024</v>
          </cell>
          <cell r="G219">
            <v>17.5</v>
          </cell>
        </row>
        <row r="220">
          <cell r="B220">
            <v>2024</v>
          </cell>
          <cell r="G220">
            <v>18.440000000000001</v>
          </cell>
        </row>
        <row r="221">
          <cell r="B221">
            <v>2024</v>
          </cell>
          <cell r="G221">
            <v>17.350000000000001</v>
          </cell>
        </row>
        <row r="222">
          <cell r="B222">
            <v>2024</v>
          </cell>
          <cell r="G222">
            <v>18.28</v>
          </cell>
        </row>
        <row r="223">
          <cell r="B223">
            <v>2024</v>
          </cell>
          <cell r="G223">
            <v>17.21</v>
          </cell>
        </row>
        <row r="224">
          <cell r="B224">
            <v>2024</v>
          </cell>
          <cell r="G224">
            <v>18.12</v>
          </cell>
        </row>
        <row r="225">
          <cell r="B225">
            <v>2024</v>
          </cell>
          <cell r="G225">
            <v>17.059999999999999</v>
          </cell>
        </row>
        <row r="226">
          <cell r="B226">
            <v>2024</v>
          </cell>
          <cell r="G226">
            <v>19.16</v>
          </cell>
        </row>
        <row r="227">
          <cell r="B227">
            <v>2024</v>
          </cell>
          <cell r="G227">
            <v>18.98</v>
          </cell>
        </row>
        <row r="228">
          <cell r="B228">
            <v>2024</v>
          </cell>
          <cell r="G228">
            <v>18.98</v>
          </cell>
        </row>
        <row r="229">
          <cell r="B229">
            <v>2024</v>
          </cell>
          <cell r="G229">
            <v>18.8</v>
          </cell>
        </row>
        <row r="230">
          <cell r="B230">
            <v>2024</v>
          </cell>
          <cell r="G230">
            <v>18.8</v>
          </cell>
        </row>
        <row r="231">
          <cell r="B231">
            <v>2024</v>
          </cell>
          <cell r="G231">
            <v>18.61</v>
          </cell>
        </row>
        <row r="232">
          <cell r="B232">
            <v>2024</v>
          </cell>
          <cell r="G232">
            <v>18.61</v>
          </cell>
        </row>
        <row r="233">
          <cell r="B233">
            <v>2024</v>
          </cell>
          <cell r="G233">
            <v>18.43</v>
          </cell>
        </row>
        <row r="234">
          <cell r="B234">
            <v>2024</v>
          </cell>
          <cell r="G234">
            <v>18.43</v>
          </cell>
        </row>
        <row r="235">
          <cell r="B235">
            <v>2024</v>
          </cell>
          <cell r="G235">
            <v>18.25</v>
          </cell>
        </row>
        <row r="236">
          <cell r="B236">
            <v>2024</v>
          </cell>
          <cell r="G236">
            <v>18.25</v>
          </cell>
        </row>
        <row r="237">
          <cell r="B237">
            <v>2024</v>
          </cell>
          <cell r="G237">
            <v>18.07</v>
          </cell>
        </row>
        <row r="238">
          <cell r="B238">
            <v>2024</v>
          </cell>
          <cell r="G238">
            <v>17.45</v>
          </cell>
        </row>
        <row r="239">
          <cell r="B239">
            <v>2024</v>
          </cell>
          <cell r="G239">
            <v>17.27</v>
          </cell>
        </row>
        <row r="240">
          <cell r="B240">
            <v>2024</v>
          </cell>
          <cell r="G240">
            <v>18.059999999999999</v>
          </cell>
        </row>
        <row r="241">
          <cell r="B241">
            <v>2024</v>
          </cell>
          <cell r="G241">
            <v>17.09</v>
          </cell>
        </row>
        <row r="242">
          <cell r="B242">
            <v>2024</v>
          </cell>
          <cell r="G242">
            <v>17.87</v>
          </cell>
        </row>
        <row r="243">
          <cell r="B243">
            <v>2024</v>
          </cell>
          <cell r="G243">
            <v>21.23</v>
          </cell>
        </row>
        <row r="244">
          <cell r="B244">
            <v>2024</v>
          </cell>
          <cell r="G244">
            <v>16.91</v>
          </cell>
        </row>
        <row r="245">
          <cell r="B245">
            <v>2024</v>
          </cell>
          <cell r="G245">
            <v>17.68</v>
          </cell>
        </row>
        <row r="246">
          <cell r="B246">
            <v>2024</v>
          </cell>
          <cell r="G246">
            <v>21</v>
          </cell>
        </row>
        <row r="247">
          <cell r="B247">
            <v>2024</v>
          </cell>
          <cell r="G247">
            <v>16.73</v>
          </cell>
        </row>
        <row r="248">
          <cell r="B248">
            <v>2024</v>
          </cell>
          <cell r="G248">
            <v>17.489999999999998</v>
          </cell>
        </row>
        <row r="249">
          <cell r="B249">
            <v>2024</v>
          </cell>
          <cell r="G249">
            <v>20.87</v>
          </cell>
        </row>
        <row r="250">
          <cell r="B250">
            <v>2024</v>
          </cell>
          <cell r="G250">
            <v>20.78</v>
          </cell>
        </row>
        <row r="251">
          <cell r="B251">
            <v>2024</v>
          </cell>
          <cell r="G251">
            <v>17.3</v>
          </cell>
        </row>
        <row r="252">
          <cell r="B252">
            <v>2024</v>
          </cell>
          <cell r="G252">
            <v>21.23</v>
          </cell>
        </row>
        <row r="253">
          <cell r="B253">
            <v>2024</v>
          </cell>
          <cell r="G253">
            <v>18.600000000000001</v>
          </cell>
        </row>
        <row r="254">
          <cell r="B254">
            <v>2024</v>
          </cell>
          <cell r="G254">
            <v>20.64</v>
          </cell>
        </row>
        <row r="255">
          <cell r="B255">
            <v>2024</v>
          </cell>
          <cell r="G255">
            <v>20.55</v>
          </cell>
        </row>
        <row r="256">
          <cell r="B256">
            <v>2024</v>
          </cell>
          <cell r="G256">
            <v>20.99</v>
          </cell>
        </row>
        <row r="257">
          <cell r="B257">
            <v>2024</v>
          </cell>
          <cell r="G257">
            <v>18.39</v>
          </cell>
        </row>
        <row r="258">
          <cell r="B258">
            <v>2024</v>
          </cell>
          <cell r="G258">
            <v>20.23</v>
          </cell>
        </row>
        <row r="259">
          <cell r="B259">
            <v>2024</v>
          </cell>
          <cell r="G259">
            <v>20.41</v>
          </cell>
        </row>
        <row r="260">
          <cell r="B260">
            <v>2024</v>
          </cell>
          <cell r="G260">
            <v>20.32</v>
          </cell>
        </row>
        <row r="261">
          <cell r="B261">
            <v>2024</v>
          </cell>
          <cell r="G261">
            <v>20.75</v>
          </cell>
        </row>
        <row r="262">
          <cell r="B262">
            <v>2024</v>
          </cell>
          <cell r="G262">
            <v>18.18</v>
          </cell>
        </row>
        <row r="263">
          <cell r="B263">
            <v>2024</v>
          </cell>
          <cell r="G263">
            <v>20.75</v>
          </cell>
        </row>
        <row r="264">
          <cell r="B264">
            <v>2024</v>
          </cell>
          <cell r="G264">
            <v>18.18</v>
          </cell>
        </row>
        <row r="265">
          <cell r="B265">
            <v>2024</v>
          </cell>
          <cell r="G265">
            <v>20</v>
          </cell>
        </row>
        <row r="266">
          <cell r="B266">
            <v>2024</v>
          </cell>
          <cell r="G266">
            <v>20.18</v>
          </cell>
        </row>
        <row r="267">
          <cell r="B267">
            <v>2024</v>
          </cell>
          <cell r="G267">
            <v>20.09</v>
          </cell>
        </row>
        <row r="268">
          <cell r="B268">
            <v>2024</v>
          </cell>
          <cell r="G268">
            <v>20.52</v>
          </cell>
        </row>
        <row r="269">
          <cell r="B269">
            <v>2024</v>
          </cell>
          <cell r="G269">
            <v>17.98</v>
          </cell>
        </row>
        <row r="270">
          <cell r="B270">
            <v>2024</v>
          </cell>
          <cell r="G270">
            <v>20.52</v>
          </cell>
        </row>
        <row r="271">
          <cell r="B271">
            <v>2024</v>
          </cell>
          <cell r="G271">
            <v>17.98</v>
          </cell>
        </row>
        <row r="272">
          <cell r="B272">
            <v>2024</v>
          </cell>
          <cell r="G272">
            <v>19.77</v>
          </cell>
        </row>
        <row r="273">
          <cell r="B273">
            <v>2024</v>
          </cell>
          <cell r="G273">
            <v>19.95</v>
          </cell>
        </row>
        <row r="274">
          <cell r="B274">
            <v>2024</v>
          </cell>
          <cell r="G274">
            <v>20.28</v>
          </cell>
        </row>
        <row r="275">
          <cell r="B275">
            <v>2024</v>
          </cell>
          <cell r="G275">
            <v>17.77</v>
          </cell>
        </row>
        <row r="276">
          <cell r="B276">
            <v>2024</v>
          </cell>
          <cell r="G276">
            <v>20.28</v>
          </cell>
        </row>
        <row r="277">
          <cell r="B277">
            <v>2024</v>
          </cell>
          <cell r="G277">
            <v>17.77</v>
          </cell>
        </row>
        <row r="278">
          <cell r="B278">
            <v>2024</v>
          </cell>
          <cell r="G278">
            <v>19.55</v>
          </cell>
        </row>
        <row r="279">
          <cell r="B279">
            <v>2024</v>
          </cell>
          <cell r="G279">
            <v>19.72</v>
          </cell>
        </row>
        <row r="280">
          <cell r="B280">
            <v>2024</v>
          </cell>
          <cell r="G280">
            <v>20.05</v>
          </cell>
        </row>
        <row r="281">
          <cell r="B281">
            <v>2024</v>
          </cell>
          <cell r="G281">
            <v>17.559999999999999</v>
          </cell>
        </row>
        <row r="282">
          <cell r="B282">
            <v>2024</v>
          </cell>
          <cell r="G282">
            <v>19.32</v>
          </cell>
        </row>
        <row r="283">
          <cell r="B283">
            <v>2024</v>
          </cell>
          <cell r="G283">
            <v>19.809999999999999</v>
          </cell>
        </row>
        <row r="284">
          <cell r="B284">
            <v>2024</v>
          </cell>
          <cell r="G284">
            <v>17.36</v>
          </cell>
        </row>
        <row r="285">
          <cell r="B285">
            <v>2024</v>
          </cell>
          <cell r="G285">
            <v>20.51</v>
          </cell>
        </row>
        <row r="286">
          <cell r="B286">
            <v>2024</v>
          </cell>
          <cell r="G286">
            <v>17.02</v>
          </cell>
        </row>
        <row r="287">
          <cell r="B287">
            <v>2023</v>
          </cell>
          <cell r="G287">
            <v>17.02</v>
          </cell>
        </row>
        <row r="288">
          <cell r="B288">
            <v>2024</v>
          </cell>
          <cell r="G288">
            <v>20.260000000000002</v>
          </cell>
        </row>
        <row r="289">
          <cell r="B289">
            <v>2024</v>
          </cell>
          <cell r="G289">
            <v>16.809999999999999</v>
          </cell>
        </row>
        <row r="290">
          <cell r="B290">
            <v>2023</v>
          </cell>
          <cell r="G290">
            <v>16.809999999999999</v>
          </cell>
        </row>
        <row r="291">
          <cell r="B291">
            <v>2024</v>
          </cell>
          <cell r="G291">
            <v>17.79</v>
          </cell>
        </row>
        <row r="292">
          <cell r="B292">
            <v>2024</v>
          </cell>
          <cell r="G292">
            <v>20</v>
          </cell>
        </row>
        <row r="293">
          <cell r="B293">
            <v>2024</v>
          </cell>
          <cell r="G293">
            <v>16.600000000000001</v>
          </cell>
        </row>
        <row r="294">
          <cell r="B294">
            <v>2023</v>
          </cell>
          <cell r="G294">
            <v>16.600000000000001</v>
          </cell>
        </row>
        <row r="295">
          <cell r="B295">
            <v>2024</v>
          </cell>
          <cell r="G295">
            <v>17.57</v>
          </cell>
        </row>
        <row r="296">
          <cell r="B296">
            <v>2024</v>
          </cell>
          <cell r="G296">
            <v>19.739999999999998</v>
          </cell>
        </row>
        <row r="297">
          <cell r="B297">
            <v>2024</v>
          </cell>
          <cell r="G297">
            <v>16.38</v>
          </cell>
        </row>
        <row r="298">
          <cell r="B298">
            <v>2023</v>
          </cell>
          <cell r="G298">
            <v>16.38</v>
          </cell>
        </row>
        <row r="299">
          <cell r="B299">
            <v>2024</v>
          </cell>
          <cell r="G299">
            <v>17.34</v>
          </cell>
        </row>
        <row r="300">
          <cell r="B300">
            <v>2024</v>
          </cell>
          <cell r="G300">
            <v>19.489999999999998</v>
          </cell>
        </row>
        <row r="301">
          <cell r="B301">
            <v>2024</v>
          </cell>
          <cell r="G301">
            <v>16.170000000000002</v>
          </cell>
        </row>
        <row r="302">
          <cell r="B302">
            <v>2023</v>
          </cell>
          <cell r="G302">
            <v>16.170000000000002</v>
          </cell>
        </row>
        <row r="303">
          <cell r="B303">
            <v>2024</v>
          </cell>
          <cell r="G303">
            <v>17.12</v>
          </cell>
        </row>
        <row r="304">
          <cell r="B304">
            <v>2024</v>
          </cell>
          <cell r="G304">
            <v>16.89</v>
          </cell>
        </row>
        <row r="305">
          <cell r="B305">
            <v>2022</v>
          </cell>
          <cell r="G305">
            <v>18.46</v>
          </cell>
        </row>
        <row r="306">
          <cell r="B306">
            <v>2022</v>
          </cell>
          <cell r="G306">
            <v>17.95</v>
          </cell>
        </row>
        <row r="307">
          <cell r="B307">
            <v>2018</v>
          </cell>
          <cell r="G307">
            <v>17.37</v>
          </cell>
        </row>
        <row r="308">
          <cell r="B308">
            <v>2016</v>
          </cell>
          <cell r="G308">
            <v>17.84</v>
          </cell>
        </row>
        <row r="309">
          <cell r="B309">
            <v>2018</v>
          </cell>
          <cell r="G309">
            <v>17.11</v>
          </cell>
        </row>
        <row r="310">
          <cell r="B310">
            <v>2016</v>
          </cell>
          <cell r="G310">
            <v>17.57</v>
          </cell>
        </row>
        <row r="311">
          <cell r="B311">
            <v>2017</v>
          </cell>
          <cell r="G311">
            <v>17.3</v>
          </cell>
        </row>
        <row r="312">
          <cell r="B312">
            <v>2017</v>
          </cell>
          <cell r="G312">
            <v>17.03</v>
          </cell>
        </row>
        <row r="313">
          <cell r="B313">
            <v>2017</v>
          </cell>
          <cell r="G313">
            <v>16.760000000000002</v>
          </cell>
        </row>
        <row r="314">
          <cell r="B314">
            <v>2015</v>
          </cell>
          <cell r="G314">
            <v>16.329999999999998</v>
          </cell>
        </row>
        <row r="315">
          <cell r="B315">
            <v>2015</v>
          </cell>
          <cell r="G315">
            <v>16</v>
          </cell>
        </row>
        <row r="316">
          <cell r="B316">
            <v>2014</v>
          </cell>
          <cell r="G316">
            <v>9.3800000000000008</v>
          </cell>
        </row>
        <row r="317">
          <cell r="B317">
            <v>2008</v>
          </cell>
          <cell r="G317">
            <v>8.48</v>
          </cell>
        </row>
        <row r="318">
          <cell r="B318">
            <v>2024</v>
          </cell>
          <cell r="G318">
            <v>19.29</v>
          </cell>
        </row>
        <row r="319">
          <cell r="B319">
            <v>2023</v>
          </cell>
          <cell r="G319">
            <v>19.29</v>
          </cell>
        </row>
        <row r="320">
          <cell r="B320">
            <v>2024</v>
          </cell>
          <cell r="G320">
            <v>16.75</v>
          </cell>
        </row>
        <row r="321">
          <cell r="B321">
            <v>2023</v>
          </cell>
          <cell r="G321">
            <v>17.489999999999998</v>
          </cell>
        </row>
        <row r="322">
          <cell r="B322">
            <v>2022</v>
          </cell>
          <cell r="G322">
            <v>20.12</v>
          </cell>
        </row>
        <row r="323">
          <cell r="B323">
            <v>2024</v>
          </cell>
          <cell r="G323">
            <v>19.14</v>
          </cell>
        </row>
        <row r="324">
          <cell r="B324">
            <v>2023</v>
          </cell>
          <cell r="G324">
            <v>19.14</v>
          </cell>
        </row>
        <row r="325">
          <cell r="B325">
            <v>2022</v>
          </cell>
          <cell r="G325">
            <v>17.36</v>
          </cell>
        </row>
        <row r="326">
          <cell r="B326">
            <v>2024</v>
          </cell>
          <cell r="G326">
            <v>16.62</v>
          </cell>
        </row>
        <row r="327">
          <cell r="B327">
            <v>2023</v>
          </cell>
          <cell r="G327">
            <v>17.36</v>
          </cell>
        </row>
        <row r="328">
          <cell r="B328">
            <v>2022</v>
          </cell>
          <cell r="G328">
            <v>19.97</v>
          </cell>
        </row>
        <row r="329">
          <cell r="B329">
            <v>2024</v>
          </cell>
          <cell r="G329">
            <v>19</v>
          </cell>
        </row>
        <row r="330">
          <cell r="B330">
            <v>2023</v>
          </cell>
          <cell r="G330">
            <v>19</v>
          </cell>
        </row>
        <row r="331">
          <cell r="B331">
            <v>2022</v>
          </cell>
          <cell r="G331">
            <v>17.23</v>
          </cell>
        </row>
        <row r="332">
          <cell r="B332">
            <v>2024</v>
          </cell>
          <cell r="G332">
            <v>16.5</v>
          </cell>
        </row>
        <row r="333">
          <cell r="B333">
            <v>2023</v>
          </cell>
          <cell r="G333">
            <v>17.23</v>
          </cell>
        </row>
        <row r="334">
          <cell r="B334">
            <v>2022</v>
          </cell>
          <cell r="G334">
            <v>19.82</v>
          </cell>
        </row>
        <row r="335">
          <cell r="B335">
            <v>2024</v>
          </cell>
          <cell r="G335">
            <v>18.86</v>
          </cell>
        </row>
        <row r="336">
          <cell r="B336">
            <v>2023</v>
          </cell>
          <cell r="G336">
            <v>18.86</v>
          </cell>
        </row>
        <row r="337">
          <cell r="B337">
            <v>2022</v>
          </cell>
          <cell r="G337">
            <v>17.100000000000001</v>
          </cell>
        </row>
        <row r="338">
          <cell r="B338">
            <v>2024</v>
          </cell>
          <cell r="G338">
            <v>16.38</v>
          </cell>
        </row>
        <row r="339">
          <cell r="B339">
            <v>2023</v>
          </cell>
          <cell r="G339">
            <v>17.100000000000001</v>
          </cell>
        </row>
        <row r="340">
          <cell r="B340">
            <v>2022</v>
          </cell>
          <cell r="G340">
            <v>19.670000000000002</v>
          </cell>
        </row>
        <row r="341">
          <cell r="B341">
            <v>2024</v>
          </cell>
          <cell r="G341">
            <v>18.71</v>
          </cell>
        </row>
        <row r="342">
          <cell r="B342">
            <v>2023</v>
          </cell>
          <cell r="G342">
            <v>18.71</v>
          </cell>
        </row>
        <row r="343">
          <cell r="B343">
            <v>2022</v>
          </cell>
          <cell r="G343">
            <v>16.97</v>
          </cell>
        </row>
        <row r="344">
          <cell r="B344">
            <v>2024</v>
          </cell>
          <cell r="G344">
            <v>16.25</v>
          </cell>
        </row>
        <row r="345">
          <cell r="B345">
            <v>2023</v>
          </cell>
          <cell r="G345">
            <v>16.97</v>
          </cell>
        </row>
        <row r="346">
          <cell r="B346">
            <v>2022</v>
          </cell>
          <cell r="G346">
            <v>19.52</v>
          </cell>
        </row>
        <row r="347">
          <cell r="B347">
            <v>2022</v>
          </cell>
          <cell r="G347">
            <v>16.84</v>
          </cell>
        </row>
        <row r="348">
          <cell r="B348">
            <v>2022</v>
          </cell>
          <cell r="G348">
            <v>19.37</v>
          </cell>
        </row>
        <row r="349">
          <cell r="B349">
            <v>2022</v>
          </cell>
          <cell r="G349">
            <v>16.71</v>
          </cell>
        </row>
        <row r="350">
          <cell r="B350">
            <v>2022</v>
          </cell>
          <cell r="G350">
            <v>19.93</v>
          </cell>
        </row>
        <row r="351">
          <cell r="B351">
            <v>2022</v>
          </cell>
          <cell r="G351">
            <v>17.34</v>
          </cell>
        </row>
        <row r="352">
          <cell r="B352">
            <v>2022</v>
          </cell>
          <cell r="G352">
            <v>19.77</v>
          </cell>
        </row>
        <row r="353">
          <cell r="B353">
            <v>2022</v>
          </cell>
          <cell r="G353">
            <v>17.190000000000001</v>
          </cell>
        </row>
        <row r="354">
          <cell r="B354">
            <v>2022</v>
          </cell>
          <cell r="G354">
            <v>19.61</v>
          </cell>
        </row>
        <row r="355">
          <cell r="B355">
            <v>2022</v>
          </cell>
          <cell r="G355">
            <v>17.05</v>
          </cell>
        </row>
        <row r="356">
          <cell r="B356">
            <v>2020</v>
          </cell>
          <cell r="G356">
            <v>19.07</v>
          </cell>
        </row>
        <row r="357">
          <cell r="B357">
            <v>2022</v>
          </cell>
          <cell r="G357">
            <v>19.440000000000001</v>
          </cell>
        </row>
        <row r="358">
          <cell r="B358">
            <v>2022</v>
          </cell>
          <cell r="G358">
            <v>16.91</v>
          </cell>
        </row>
        <row r="359">
          <cell r="B359">
            <v>2020</v>
          </cell>
          <cell r="G359">
            <v>18.91</v>
          </cell>
        </row>
        <row r="360">
          <cell r="B360">
            <v>2022</v>
          </cell>
          <cell r="G360">
            <v>19.28</v>
          </cell>
        </row>
        <row r="361">
          <cell r="B361">
            <v>2022</v>
          </cell>
          <cell r="G361">
            <v>16.760000000000002</v>
          </cell>
        </row>
        <row r="362">
          <cell r="B362">
            <v>2020</v>
          </cell>
          <cell r="G362">
            <v>18.75</v>
          </cell>
        </row>
        <row r="363">
          <cell r="B363">
            <v>2022</v>
          </cell>
          <cell r="G363">
            <v>19.12</v>
          </cell>
        </row>
        <row r="364">
          <cell r="B364">
            <v>2022</v>
          </cell>
          <cell r="G364">
            <v>16.62</v>
          </cell>
        </row>
        <row r="365">
          <cell r="B365">
            <v>2020</v>
          </cell>
          <cell r="G365">
            <v>18.59</v>
          </cell>
        </row>
        <row r="366">
          <cell r="B366">
            <v>2020</v>
          </cell>
          <cell r="G366">
            <v>18.79</v>
          </cell>
        </row>
        <row r="367">
          <cell r="B367">
            <v>2020</v>
          </cell>
          <cell r="G367">
            <v>18.43</v>
          </cell>
        </row>
        <row r="368">
          <cell r="B368">
            <v>2020</v>
          </cell>
          <cell r="G368">
            <v>18.63</v>
          </cell>
        </row>
        <row r="369">
          <cell r="B369">
            <v>2022</v>
          </cell>
          <cell r="G369">
            <v>21.11</v>
          </cell>
        </row>
        <row r="370">
          <cell r="B370">
            <v>2022</v>
          </cell>
          <cell r="G370">
            <v>21.11</v>
          </cell>
        </row>
        <row r="371">
          <cell r="B371">
            <v>2022</v>
          </cell>
          <cell r="G371">
            <v>21.11</v>
          </cell>
        </row>
        <row r="372">
          <cell r="B372">
            <v>2022</v>
          </cell>
          <cell r="G372">
            <v>21.11</v>
          </cell>
        </row>
        <row r="373">
          <cell r="B373">
            <v>2020</v>
          </cell>
          <cell r="G373">
            <v>18.46</v>
          </cell>
        </row>
        <row r="374">
          <cell r="B374">
            <v>2022</v>
          </cell>
          <cell r="G374">
            <v>20.93</v>
          </cell>
        </row>
        <row r="375">
          <cell r="B375">
            <v>2022</v>
          </cell>
          <cell r="G375">
            <v>20.93</v>
          </cell>
        </row>
        <row r="376">
          <cell r="B376">
            <v>2022</v>
          </cell>
          <cell r="G376">
            <v>20.93</v>
          </cell>
        </row>
        <row r="377">
          <cell r="B377">
            <v>2022</v>
          </cell>
          <cell r="G377">
            <v>20.93</v>
          </cell>
        </row>
        <row r="378">
          <cell r="B378">
            <v>2020</v>
          </cell>
          <cell r="G378">
            <v>18.3</v>
          </cell>
        </row>
        <row r="379">
          <cell r="B379">
            <v>2020</v>
          </cell>
          <cell r="G379">
            <v>19.38</v>
          </cell>
        </row>
        <row r="380">
          <cell r="B380">
            <v>2022</v>
          </cell>
          <cell r="G380">
            <v>20.74</v>
          </cell>
        </row>
        <row r="381">
          <cell r="B381">
            <v>2022</v>
          </cell>
          <cell r="G381">
            <v>20.74</v>
          </cell>
        </row>
        <row r="382">
          <cell r="B382">
            <v>2022</v>
          </cell>
          <cell r="G382">
            <v>20.74</v>
          </cell>
        </row>
        <row r="383">
          <cell r="B383">
            <v>2022</v>
          </cell>
          <cell r="G383">
            <v>20.74</v>
          </cell>
        </row>
        <row r="384">
          <cell r="B384">
            <v>2022</v>
          </cell>
          <cell r="G384">
            <v>20.74</v>
          </cell>
        </row>
        <row r="385">
          <cell r="B385">
            <v>2024</v>
          </cell>
          <cell r="G385">
            <v>18.36</v>
          </cell>
        </row>
        <row r="386">
          <cell r="B386">
            <v>2023</v>
          </cell>
          <cell r="G386">
            <v>18.36</v>
          </cell>
        </row>
        <row r="387">
          <cell r="B387">
            <v>2022</v>
          </cell>
          <cell r="G387">
            <v>20.74</v>
          </cell>
        </row>
        <row r="388">
          <cell r="B388">
            <v>2023</v>
          </cell>
          <cell r="G388">
            <v>19.309999999999999</v>
          </cell>
        </row>
        <row r="389">
          <cell r="B389">
            <v>2024</v>
          </cell>
          <cell r="G389">
            <v>18.36</v>
          </cell>
        </row>
        <row r="390">
          <cell r="B390">
            <v>2024</v>
          </cell>
          <cell r="G390">
            <v>14.18</v>
          </cell>
        </row>
        <row r="391">
          <cell r="B391">
            <v>2022</v>
          </cell>
          <cell r="G391">
            <v>17.18</v>
          </cell>
        </row>
        <row r="392">
          <cell r="B392">
            <v>2020</v>
          </cell>
          <cell r="G392">
            <v>18.14</v>
          </cell>
        </row>
        <row r="393">
          <cell r="B393">
            <v>2020</v>
          </cell>
          <cell r="G393">
            <v>17.899999999999999</v>
          </cell>
        </row>
        <row r="394">
          <cell r="B394">
            <v>2022</v>
          </cell>
          <cell r="G394">
            <v>20.56</v>
          </cell>
        </row>
        <row r="395">
          <cell r="B395">
            <v>2020</v>
          </cell>
          <cell r="G395">
            <v>17.899999999999999</v>
          </cell>
        </row>
        <row r="396">
          <cell r="B396">
            <v>2022</v>
          </cell>
          <cell r="G396">
            <v>20.56</v>
          </cell>
        </row>
        <row r="397">
          <cell r="B397">
            <v>2022</v>
          </cell>
          <cell r="G397">
            <v>20.56</v>
          </cell>
        </row>
        <row r="398">
          <cell r="B398">
            <v>2022</v>
          </cell>
          <cell r="G398">
            <v>20.56</v>
          </cell>
        </row>
        <row r="399">
          <cell r="B399">
            <v>2022</v>
          </cell>
          <cell r="G399">
            <v>20.56</v>
          </cell>
        </row>
        <row r="400">
          <cell r="B400">
            <v>2024</v>
          </cell>
          <cell r="G400">
            <v>18.2</v>
          </cell>
        </row>
        <row r="401">
          <cell r="B401">
            <v>2023</v>
          </cell>
          <cell r="G401">
            <v>18.2</v>
          </cell>
        </row>
        <row r="402">
          <cell r="B402">
            <v>2023</v>
          </cell>
          <cell r="G402">
            <v>19.61</v>
          </cell>
        </row>
        <row r="403">
          <cell r="B403">
            <v>2022</v>
          </cell>
          <cell r="G403">
            <v>20.56</v>
          </cell>
        </row>
        <row r="404">
          <cell r="B404">
            <v>2023</v>
          </cell>
          <cell r="G404">
            <v>19.14</v>
          </cell>
        </row>
        <row r="405">
          <cell r="B405">
            <v>2024</v>
          </cell>
          <cell r="G405">
            <v>18.2</v>
          </cell>
        </row>
        <row r="406">
          <cell r="B406">
            <v>2024</v>
          </cell>
          <cell r="G406">
            <v>14.05</v>
          </cell>
        </row>
        <row r="407">
          <cell r="B407">
            <v>2022</v>
          </cell>
          <cell r="G407">
            <v>17.03</v>
          </cell>
        </row>
        <row r="408">
          <cell r="B408">
            <v>2020</v>
          </cell>
          <cell r="G408">
            <v>19.64</v>
          </cell>
        </row>
        <row r="409">
          <cell r="B409">
            <v>2020</v>
          </cell>
          <cell r="G409">
            <v>19.64</v>
          </cell>
        </row>
        <row r="410">
          <cell r="B410">
            <v>2020</v>
          </cell>
          <cell r="G410">
            <v>17.739999999999998</v>
          </cell>
        </row>
        <row r="411">
          <cell r="B411">
            <v>2022</v>
          </cell>
          <cell r="G411">
            <v>20.37</v>
          </cell>
        </row>
        <row r="412">
          <cell r="B412">
            <v>2020</v>
          </cell>
          <cell r="G412">
            <v>17.739999999999998</v>
          </cell>
        </row>
        <row r="413">
          <cell r="B413">
            <v>2022</v>
          </cell>
          <cell r="G413">
            <v>20.37</v>
          </cell>
        </row>
        <row r="414">
          <cell r="B414">
            <v>2022</v>
          </cell>
          <cell r="G414">
            <v>20.37</v>
          </cell>
        </row>
        <row r="415">
          <cell r="B415">
            <v>2022</v>
          </cell>
          <cell r="G415">
            <v>20.37</v>
          </cell>
        </row>
        <row r="416">
          <cell r="B416">
            <v>2022</v>
          </cell>
          <cell r="G416">
            <v>20.37</v>
          </cell>
        </row>
        <row r="417">
          <cell r="B417">
            <v>2024</v>
          </cell>
          <cell r="G417">
            <v>18.03</v>
          </cell>
        </row>
        <row r="418">
          <cell r="B418">
            <v>2023</v>
          </cell>
          <cell r="G418">
            <v>18.03</v>
          </cell>
        </row>
        <row r="419">
          <cell r="B419">
            <v>2023</v>
          </cell>
          <cell r="G419">
            <v>19.43</v>
          </cell>
        </row>
        <row r="420">
          <cell r="B420">
            <v>2022</v>
          </cell>
          <cell r="G420">
            <v>20.37</v>
          </cell>
        </row>
        <row r="421">
          <cell r="B421">
            <v>2023</v>
          </cell>
          <cell r="G421">
            <v>18.97</v>
          </cell>
        </row>
        <row r="422">
          <cell r="B422">
            <v>2024</v>
          </cell>
          <cell r="G422">
            <v>18.03</v>
          </cell>
        </row>
        <row r="423">
          <cell r="B423">
            <v>2024</v>
          </cell>
          <cell r="G423">
            <v>13.92</v>
          </cell>
        </row>
        <row r="424">
          <cell r="B424">
            <v>2022</v>
          </cell>
          <cell r="G424">
            <v>16.87</v>
          </cell>
        </row>
        <row r="425">
          <cell r="B425">
            <v>2020</v>
          </cell>
          <cell r="G425">
            <v>19.46</v>
          </cell>
        </row>
        <row r="426">
          <cell r="B426">
            <v>2020</v>
          </cell>
          <cell r="G426">
            <v>19.46</v>
          </cell>
        </row>
        <row r="427">
          <cell r="B427">
            <v>2020</v>
          </cell>
          <cell r="G427">
            <v>19.46</v>
          </cell>
        </row>
        <row r="428">
          <cell r="B428">
            <v>2022</v>
          </cell>
          <cell r="G428">
            <v>20.190000000000001</v>
          </cell>
        </row>
        <row r="429">
          <cell r="B429">
            <v>2020</v>
          </cell>
          <cell r="G429">
            <v>17.579999999999998</v>
          </cell>
        </row>
        <row r="430">
          <cell r="B430">
            <v>2020</v>
          </cell>
          <cell r="G430">
            <v>17.579999999999998</v>
          </cell>
        </row>
        <row r="431">
          <cell r="B431">
            <v>2022</v>
          </cell>
          <cell r="G431">
            <v>20.190000000000001</v>
          </cell>
        </row>
        <row r="432">
          <cell r="B432">
            <v>2022</v>
          </cell>
          <cell r="G432">
            <v>20.190000000000001</v>
          </cell>
        </row>
        <row r="433">
          <cell r="B433">
            <v>2024</v>
          </cell>
          <cell r="G433">
            <v>17.87</v>
          </cell>
        </row>
        <row r="434">
          <cell r="B434">
            <v>2023</v>
          </cell>
          <cell r="G434">
            <v>17.87</v>
          </cell>
        </row>
        <row r="435">
          <cell r="B435">
            <v>2023</v>
          </cell>
          <cell r="G435">
            <v>19.260000000000002</v>
          </cell>
        </row>
        <row r="436">
          <cell r="B436">
            <v>2023</v>
          </cell>
          <cell r="G436">
            <v>18.79</v>
          </cell>
        </row>
        <row r="437">
          <cell r="B437">
            <v>2024</v>
          </cell>
          <cell r="G437">
            <v>17.87</v>
          </cell>
        </row>
        <row r="438">
          <cell r="B438">
            <v>2024</v>
          </cell>
          <cell r="G438">
            <v>13.8</v>
          </cell>
        </row>
        <row r="439">
          <cell r="B439">
            <v>2022</v>
          </cell>
          <cell r="G439">
            <v>16.72</v>
          </cell>
        </row>
        <row r="440">
          <cell r="B440">
            <v>2020</v>
          </cell>
          <cell r="G440">
            <v>19.29</v>
          </cell>
        </row>
        <row r="441">
          <cell r="B441">
            <v>2020</v>
          </cell>
          <cell r="G441">
            <v>19.29</v>
          </cell>
        </row>
        <row r="442">
          <cell r="B442">
            <v>2020</v>
          </cell>
          <cell r="G442">
            <v>19.29</v>
          </cell>
        </row>
        <row r="443">
          <cell r="B443">
            <v>2022</v>
          </cell>
          <cell r="G443">
            <v>20</v>
          </cell>
        </row>
        <row r="444">
          <cell r="B444">
            <v>2020</v>
          </cell>
          <cell r="G444">
            <v>17.420000000000002</v>
          </cell>
        </row>
        <row r="445">
          <cell r="B445">
            <v>2020</v>
          </cell>
          <cell r="G445">
            <v>17.420000000000002</v>
          </cell>
        </row>
        <row r="446">
          <cell r="B446">
            <v>2022</v>
          </cell>
          <cell r="G446">
            <v>20</v>
          </cell>
        </row>
        <row r="447">
          <cell r="B447">
            <v>2022</v>
          </cell>
          <cell r="G447">
            <v>20</v>
          </cell>
        </row>
        <row r="448">
          <cell r="B448">
            <v>2024</v>
          </cell>
          <cell r="G448">
            <v>17.7</v>
          </cell>
        </row>
        <row r="449">
          <cell r="B449">
            <v>2023</v>
          </cell>
          <cell r="G449">
            <v>17.7</v>
          </cell>
        </row>
        <row r="450">
          <cell r="B450">
            <v>2023</v>
          </cell>
          <cell r="G450">
            <v>19.079999999999998</v>
          </cell>
        </row>
        <row r="451">
          <cell r="B451">
            <v>2023</v>
          </cell>
          <cell r="G451">
            <v>18.62</v>
          </cell>
        </row>
        <row r="452">
          <cell r="B452">
            <v>2024</v>
          </cell>
          <cell r="G452">
            <v>17.7</v>
          </cell>
        </row>
        <row r="453">
          <cell r="B453">
            <v>2024</v>
          </cell>
          <cell r="G453">
            <v>13.67</v>
          </cell>
        </row>
        <row r="454">
          <cell r="B454">
            <v>2022</v>
          </cell>
          <cell r="G454">
            <v>16.559999999999999</v>
          </cell>
        </row>
        <row r="455">
          <cell r="B455">
            <v>2020</v>
          </cell>
          <cell r="G455">
            <v>18.510000000000002</v>
          </cell>
        </row>
        <row r="456">
          <cell r="B456">
            <v>2020</v>
          </cell>
          <cell r="G456">
            <v>19.11</v>
          </cell>
        </row>
        <row r="457">
          <cell r="B457">
            <v>2020</v>
          </cell>
          <cell r="G457">
            <v>19.11</v>
          </cell>
        </row>
        <row r="458">
          <cell r="B458">
            <v>2022</v>
          </cell>
          <cell r="G458">
            <v>19.809999999999999</v>
          </cell>
        </row>
        <row r="459">
          <cell r="B459">
            <v>2020</v>
          </cell>
          <cell r="G459">
            <v>17.260000000000002</v>
          </cell>
        </row>
        <row r="460">
          <cell r="B460">
            <v>2024</v>
          </cell>
          <cell r="G460">
            <v>17.54</v>
          </cell>
        </row>
        <row r="461">
          <cell r="B461">
            <v>2023</v>
          </cell>
          <cell r="G461">
            <v>17.54</v>
          </cell>
        </row>
        <row r="462">
          <cell r="B462">
            <v>2023</v>
          </cell>
          <cell r="G462">
            <v>18.899999999999999</v>
          </cell>
        </row>
        <row r="463">
          <cell r="B463">
            <v>2023</v>
          </cell>
          <cell r="G463">
            <v>18.45</v>
          </cell>
        </row>
        <row r="464">
          <cell r="B464">
            <v>2024</v>
          </cell>
          <cell r="G464">
            <v>17.54</v>
          </cell>
        </row>
        <row r="465">
          <cell r="B465">
            <v>2022</v>
          </cell>
          <cell r="G465">
            <v>16.41</v>
          </cell>
        </row>
        <row r="466">
          <cell r="B466">
            <v>2020</v>
          </cell>
          <cell r="G466">
            <v>18.34</v>
          </cell>
        </row>
        <row r="467">
          <cell r="B467">
            <v>2020</v>
          </cell>
          <cell r="G467">
            <v>18.93</v>
          </cell>
        </row>
        <row r="468">
          <cell r="B468">
            <v>2020</v>
          </cell>
          <cell r="G468">
            <v>18.93</v>
          </cell>
        </row>
        <row r="469">
          <cell r="B469">
            <v>2020</v>
          </cell>
          <cell r="G469">
            <v>17.100000000000001</v>
          </cell>
        </row>
        <row r="470">
          <cell r="B470">
            <v>2022</v>
          </cell>
          <cell r="G470">
            <v>19.63</v>
          </cell>
        </row>
        <row r="471">
          <cell r="B471">
            <v>2023</v>
          </cell>
          <cell r="G471">
            <v>18.73</v>
          </cell>
        </row>
        <row r="472">
          <cell r="B472">
            <v>2020</v>
          </cell>
          <cell r="G472">
            <v>18.170000000000002</v>
          </cell>
        </row>
        <row r="473">
          <cell r="B473">
            <v>2020</v>
          </cell>
          <cell r="G473">
            <v>18.75</v>
          </cell>
        </row>
        <row r="474">
          <cell r="B474">
            <v>2020</v>
          </cell>
          <cell r="G474">
            <v>16.940000000000001</v>
          </cell>
        </row>
        <row r="475">
          <cell r="B475">
            <v>2020</v>
          </cell>
          <cell r="G475">
            <v>17.989999999999998</v>
          </cell>
        </row>
        <row r="476">
          <cell r="B476">
            <v>2020</v>
          </cell>
          <cell r="G476">
            <v>16.77</v>
          </cell>
        </row>
        <row r="477">
          <cell r="B477">
            <v>2020</v>
          </cell>
          <cell r="G477">
            <v>17.82</v>
          </cell>
        </row>
        <row r="478">
          <cell r="B478">
            <v>2022</v>
          </cell>
          <cell r="G478">
            <v>19.579999999999998</v>
          </cell>
        </row>
        <row r="479">
          <cell r="B479">
            <v>2023</v>
          </cell>
          <cell r="G479">
            <v>16.940000000000001</v>
          </cell>
        </row>
        <row r="480">
          <cell r="B480">
            <v>2022</v>
          </cell>
          <cell r="G480">
            <v>19.39</v>
          </cell>
        </row>
        <row r="481">
          <cell r="B481">
            <v>2022</v>
          </cell>
          <cell r="G481">
            <v>19.39</v>
          </cell>
        </row>
        <row r="482">
          <cell r="B482">
            <v>2023</v>
          </cell>
          <cell r="G482">
            <v>16.78</v>
          </cell>
        </row>
        <row r="483">
          <cell r="B483">
            <v>2022</v>
          </cell>
          <cell r="G483">
            <v>19.2</v>
          </cell>
        </row>
        <row r="484">
          <cell r="B484">
            <v>2022</v>
          </cell>
          <cell r="G484">
            <v>19.2</v>
          </cell>
        </row>
        <row r="485">
          <cell r="B485">
            <v>2023</v>
          </cell>
          <cell r="G485">
            <v>16.61</v>
          </cell>
        </row>
        <row r="486">
          <cell r="B486">
            <v>2022</v>
          </cell>
          <cell r="G486">
            <v>19.010000000000002</v>
          </cell>
        </row>
        <row r="487">
          <cell r="B487">
            <v>2022</v>
          </cell>
          <cell r="G487">
            <v>19.010000000000002</v>
          </cell>
        </row>
        <row r="488">
          <cell r="B488">
            <v>2023</v>
          </cell>
          <cell r="G488">
            <v>16.45</v>
          </cell>
        </row>
        <row r="489">
          <cell r="B489">
            <v>2022</v>
          </cell>
          <cell r="G489">
            <v>18.82</v>
          </cell>
        </row>
        <row r="490">
          <cell r="B490">
            <v>2022</v>
          </cell>
          <cell r="G490">
            <v>18.82</v>
          </cell>
        </row>
        <row r="491">
          <cell r="B491">
            <v>2023</v>
          </cell>
          <cell r="G491">
            <v>16.28</v>
          </cell>
        </row>
        <row r="492">
          <cell r="B492">
            <v>2022</v>
          </cell>
          <cell r="G492">
            <v>18.63</v>
          </cell>
        </row>
        <row r="493">
          <cell r="B493">
            <v>2022</v>
          </cell>
          <cell r="G493">
            <v>18.440000000000001</v>
          </cell>
        </row>
        <row r="494">
          <cell r="B494">
            <v>2020</v>
          </cell>
          <cell r="G494">
            <v>19.420000000000002</v>
          </cell>
        </row>
        <row r="495">
          <cell r="B495">
            <v>2020</v>
          </cell>
          <cell r="G495">
            <v>19.21</v>
          </cell>
        </row>
        <row r="496">
          <cell r="B496">
            <v>2020</v>
          </cell>
          <cell r="G496">
            <v>19.010000000000002</v>
          </cell>
        </row>
        <row r="497">
          <cell r="B497">
            <v>2020</v>
          </cell>
          <cell r="G497">
            <v>19.010000000000002</v>
          </cell>
        </row>
        <row r="498">
          <cell r="B498">
            <v>2020</v>
          </cell>
          <cell r="G498">
            <v>19.010000000000002</v>
          </cell>
        </row>
        <row r="499">
          <cell r="B499">
            <v>2020</v>
          </cell>
          <cell r="G499">
            <v>19.170000000000002</v>
          </cell>
        </row>
        <row r="500">
          <cell r="B500">
            <v>2020</v>
          </cell>
          <cell r="G500">
            <v>18.8</v>
          </cell>
        </row>
        <row r="501">
          <cell r="B501">
            <v>2020</v>
          </cell>
          <cell r="G501">
            <v>18.8</v>
          </cell>
        </row>
        <row r="502">
          <cell r="B502">
            <v>2020</v>
          </cell>
          <cell r="G502">
            <v>18.8</v>
          </cell>
        </row>
        <row r="503">
          <cell r="B503">
            <v>2020</v>
          </cell>
          <cell r="G503">
            <v>18.8</v>
          </cell>
        </row>
        <row r="504">
          <cell r="B504">
            <v>2020</v>
          </cell>
          <cell r="G504">
            <v>18.96</v>
          </cell>
        </row>
        <row r="505">
          <cell r="B505">
            <v>2020</v>
          </cell>
          <cell r="G505">
            <v>18.600000000000001</v>
          </cell>
        </row>
        <row r="506">
          <cell r="B506">
            <v>2020</v>
          </cell>
          <cell r="G506">
            <v>18.91</v>
          </cell>
        </row>
        <row r="507">
          <cell r="B507">
            <v>2020</v>
          </cell>
          <cell r="G507">
            <v>18.600000000000001</v>
          </cell>
        </row>
        <row r="508">
          <cell r="B508">
            <v>2020</v>
          </cell>
          <cell r="G508">
            <v>18.600000000000001</v>
          </cell>
        </row>
        <row r="509">
          <cell r="B509">
            <v>2020</v>
          </cell>
          <cell r="G509">
            <v>18.600000000000001</v>
          </cell>
        </row>
        <row r="510">
          <cell r="B510">
            <v>2020</v>
          </cell>
          <cell r="G510">
            <v>18.75</v>
          </cell>
        </row>
        <row r="511">
          <cell r="B511">
            <v>2020</v>
          </cell>
          <cell r="G511">
            <v>18.39</v>
          </cell>
        </row>
        <row r="512">
          <cell r="B512">
            <v>2020</v>
          </cell>
          <cell r="G512">
            <v>18.7</v>
          </cell>
        </row>
        <row r="513">
          <cell r="B513">
            <v>2020</v>
          </cell>
          <cell r="G513">
            <v>18.39</v>
          </cell>
        </row>
        <row r="514">
          <cell r="B514">
            <v>2020</v>
          </cell>
          <cell r="G514">
            <v>18.39</v>
          </cell>
        </row>
        <row r="515">
          <cell r="B515">
            <v>2020</v>
          </cell>
          <cell r="G515">
            <v>18.54</v>
          </cell>
        </row>
        <row r="516">
          <cell r="B516">
            <v>2020</v>
          </cell>
          <cell r="G516">
            <v>18.18</v>
          </cell>
        </row>
        <row r="517">
          <cell r="B517">
            <v>2020</v>
          </cell>
          <cell r="G517">
            <v>18.489999999999998</v>
          </cell>
        </row>
        <row r="518">
          <cell r="B518">
            <v>2020</v>
          </cell>
          <cell r="G518">
            <v>18.18</v>
          </cell>
        </row>
        <row r="519">
          <cell r="B519">
            <v>2020</v>
          </cell>
          <cell r="G519">
            <v>18.489999999999998</v>
          </cell>
        </row>
        <row r="520">
          <cell r="B520">
            <v>2020</v>
          </cell>
          <cell r="G520">
            <v>18.18</v>
          </cell>
        </row>
        <row r="521">
          <cell r="B521">
            <v>2020</v>
          </cell>
          <cell r="G521">
            <v>18.489999999999998</v>
          </cell>
        </row>
        <row r="522">
          <cell r="B522">
            <v>2020</v>
          </cell>
          <cell r="G522">
            <v>18.329999999999998</v>
          </cell>
        </row>
        <row r="523">
          <cell r="B523">
            <v>2020</v>
          </cell>
          <cell r="G523">
            <v>18.28</v>
          </cell>
        </row>
        <row r="524">
          <cell r="B524">
            <v>2020</v>
          </cell>
          <cell r="G524">
            <v>18.28</v>
          </cell>
        </row>
        <row r="525">
          <cell r="B525">
            <v>2020</v>
          </cell>
          <cell r="G525">
            <v>18.28</v>
          </cell>
        </row>
        <row r="526">
          <cell r="B526">
            <v>2020</v>
          </cell>
          <cell r="G526">
            <v>18.12</v>
          </cell>
        </row>
        <row r="527">
          <cell r="B527">
            <v>2020</v>
          </cell>
          <cell r="G527">
            <v>18.07</v>
          </cell>
        </row>
        <row r="528">
          <cell r="B528">
            <v>2020</v>
          </cell>
          <cell r="G528">
            <v>18.07</v>
          </cell>
        </row>
        <row r="529">
          <cell r="B529">
            <v>2020</v>
          </cell>
          <cell r="G529">
            <v>18.07</v>
          </cell>
        </row>
        <row r="530">
          <cell r="B530">
            <v>2022</v>
          </cell>
          <cell r="G530">
            <v>19.72</v>
          </cell>
        </row>
        <row r="531">
          <cell r="B531">
            <v>2020</v>
          </cell>
          <cell r="G531">
            <v>17.86</v>
          </cell>
        </row>
        <row r="532">
          <cell r="B532">
            <v>2020</v>
          </cell>
          <cell r="G532">
            <v>17.86</v>
          </cell>
        </row>
        <row r="533">
          <cell r="B533">
            <v>2022</v>
          </cell>
          <cell r="G533">
            <v>19.32</v>
          </cell>
        </row>
        <row r="534">
          <cell r="B534">
            <v>2022</v>
          </cell>
          <cell r="G534">
            <v>19.5</v>
          </cell>
        </row>
        <row r="535">
          <cell r="B535">
            <v>2020</v>
          </cell>
          <cell r="G535">
            <v>16.149999999999999</v>
          </cell>
        </row>
        <row r="536">
          <cell r="B536">
            <v>2020</v>
          </cell>
          <cell r="G536">
            <v>17.649999999999999</v>
          </cell>
        </row>
        <row r="537">
          <cell r="B537">
            <v>2020</v>
          </cell>
          <cell r="G537">
            <v>19.09</v>
          </cell>
        </row>
        <row r="538">
          <cell r="B538">
            <v>2020</v>
          </cell>
          <cell r="G538">
            <v>17.649999999999999</v>
          </cell>
        </row>
        <row r="539">
          <cell r="B539">
            <v>2022</v>
          </cell>
          <cell r="G539">
            <v>19.09</v>
          </cell>
        </row>
        <row r="540">
          <cell r="B540">
            <v>2022</v>
          </cell>
          <cell r="G540">
            <v>19.27</v>
          </cell>
        </row>
        <row r="541">
          <cell r="B541">
            <v>2020</v>
          </cell>
          <cell r="G541">
            <v>19.09</v>
          </cell>
        </row>
        <row r="542">
          <cell r="B542">
            <v>2020</v>
          </cell>
          <cell r="G542">
            <v>19.09</v>
          </cell>
        </row>
        <row r="543">
          <cell r="B543">
            <v>2020</v>
          </cell>
          <cell r="G543">
            <v>16.149999999999999</v>
          </cell>
        </row>
        <row r="544">
          <cell r="B544">
            <v>2020</v>
          </cell>
          <cell r="G544">
            <v>15.96</v>
          </cell>
        </row>
        <row r="545">
          <cell r="B545">
            <v>2020</v>
          </cell>
          <cell r="G545">
            <v>18.86</v>
          </cell>
        </row>
        <row r="546">
          <cell r="B546">
            <v>2020</v>
          </cell>
          <cell r="G546">
            <v>18.86</v>
          </cell>
        </row>
        <row r="547">
          <cell r="B547">
            <v>2020</v>
          </cell>
          <cell r="G547">
            <v>18.86</v>
          </cell>
        </row>
        <row r="548">
          <cell r="B548">
            <v>2022</v>
          </cell>
          <cell r="G548">
            <v>18.86</v>
          </cell>
        </row>
        <row r="549">
          <cell r="B549">
            <v>2020</v>
          </cell>
          <cell r="G549">
            <v>18.86</v>
          </cell>
        </row>
        <row r="550">
          <cell r="B550">
            <v>2022</v>
          </cell>
          <cell r="G550">
            <v>19.04</v>
          </cell>
        </row>
        <row r="551">
          <cell r="B551">
            <v>2020</v>
          </cell>
          <cell r="G551">
            <v>18.86</v>
          </cell>
        </row>
        <row r="552">
          <cell r="B552">
            <v>2020</v>
          </cell>
          <cell r="G552">
            <v>18.86</v>
          </cell>
        </row>
        <row r="553">
          <cell r="B553">
            <v>2020</v>
          </cell>
          <cell r="G553">
            <v>15.96</v>
          </cell>
        </row>
        <row r="554">
          <cell r="B554">
            <v>2020</v>
          </cell>
          <cell r="G554">
            <v>15.77</v>
          </cell>
        </row>
        <row r="555">
          <cell r="B555">
            <v>2020</v>
          </cell>
          <cell r="G555">
            <v>18.64</v>
          </cell>
        </row>
        <row r="556">
          <cell r="B556">
            <v>2022</v>
          </cell>
          <cell r="G556">
            <v>18.64</v>
          </cell>
        </row>
        <row r="557">
          <cell r="B557">
            <v>2020</v>
          </cell>
          <cell r="G557">
            <v>18.64</v>
          </cell>
        </row>
        <row r="558">
          <cell r="B558">
            <v>2020</v>
          </cell>
          <cell r="G558">
            <v>18.64</v>
          </cell>
        </row>
        <row r="559">
          <cell r="B559">
            <v>2022</v>
          </cell>
          <cell r="G559">
            <v>18.809999999999999</v>
          </cell>
        </row>
        <row r="560">
          <cell r="B560">
            <v>2020</v>
          </cell>
          <cell r="G560">
            <v>18.64</v>
          </cell>
        </row>
        <row r="561">
          <cell r="B561">
            <v>2020</v>
          </cell>
          <cell r="G561">
            <v>18.64</v>
          </cell>
        </row>
        <row r="562">
          <cell r="B562">
            <v>2020</v>
          </cell>
          <cell r="G562">
            <v>15.77</v>
          </cell>
        </row>
        <row r="563">
          <cell r="B563">
            <v>2020</v>
          </cell>
          <cell r="G563">
            <v>15.58</v>
          </cell>
        </row>
        <row r="564">
          <cell r="B564">
            <v>2020</v>
          </cell>
          <cell r="G564">
            <v>18.41</v>
          </cell>
        </row>
        <row r="565">
          <cell r="B565">
            <v>2020</v>
          </cell>
          <cell r="G565">
            <v>18.41</v>
          </cell>
        </row>
        <row r="566">
          <cell r="B566">
            <v>2020</v>
          </cell>
          <cell r="G566">
            <v>18.41</v>
          </cell>
        </row>
        <row r="567">
          <cell r="B567">
            <v>2021</v>
          </cell>
          <cell r="G567">
            <v>19.29</v>
          </cell>
        </row>
        <row r="568">
          <cell r="B568">
            <v>2022</v>
          </cell>
          <cell r="G568">
            <v>18.579999999999998</v>
          </cell>
        </row>
        <row r="569">
          <cell r="B569">
            <v>2020</v>
          </cell>
          <cell r="G569">
            <v>18.41</v>
          </cell>
        </row>
        <row r="570">
          <cell r="B570">
            <v>2020</v>
          </cell>
          <cell r="G570">
            <v>18.41</v>
          </cell>
        </row>
        <row r="571">
          <cell r="B571">
            <v>2020</v>
          </cell>
          <cell r="G571">
            <v>15.58</v>
          </cell>
        </row>
        <row r="572">
          <cell r="B572">
            <v>2020</v>
          </cell>
          <cell r="G572">
            <v>15.38</v>
          </cell>
        </row>
        <row r="573">
          <cell r="B573">
            <v>2020</v>
          </cell>
          <cell r="G573">
            <v>18.18</v>
          </cell>
        </row>
        <row r="574">
          <cell r="B574">
            <v>2020</v>
          </cell>
          <cell r="G574">
            <v>18.18</v>
          </cell>
        </row>
        <row r="575">
          <cell r="B575">
            <v>2021</v>
          </cell>
          <cell r="G575">
            <v>19.05</v>
          </cell>
        </row>
        <row r="576">
          <cell r="B576">
            <v>2020</v>
          </cell>
          <cell r="G576">
            <v>18.18</v>
          </cell>
        </row>
        <row r="577">
          <cell r="B577">
            <v>2020</v>
          </cell>
          <cell r="G577">
            <v>18.18</v>
          </cell>
        </row>
        <row r="578">
          <cell r="B578">
            <v>2020</v>
          </cell>
          <cell r="G578">
            <v>15.38</v>
          </cell>
        </row>
        <row r="579">
          <cell r="B579">
            <v>2020</v>
          </cell>
          <cell r="G579">
            <v>15.19</v>
          </cell>
        </row>
        <row r="580">
          <cell r="B580">
            <v>2020</v>
          </cell>
          <cell r="G580">
            <v>17.95</v>
          </cell>
        </row>
        <row r="581">
          <cell r="B581">
            <v>2021</v>
          </cell>
          <cell r="G581">
            <v>18.809999999999999</v>
          </cell>
        </row>
        <row r="582">
          <cell r="B582">
            <v>2021</v>
          </cell>
          <cell r="G582">
            <v>18.809999999999999</v>
          </cell>
        </row>
        <row r="583">
          <cell r="B583">
            <v>2020</v>
          </cell>
          <cell r="G583">
            <v>17.95</v>
          </cell>
        </row>
        <row r="584">
          <cell r="B584">
            <v>2020</v>
          </cell>
          <cell r="G584">
            <v>17.95</v>
          </cell>
        </row>
        <row r="585">
          <cell r="B585">
            <v>2020</v>
          </cell>
          <cell r="G585">
            <v>15.19</v>
          </cell>
        </row>
        <row r="586">
          <cell r="B586">
            <v>2021</v>
          </cell>
          <cell r="G586">
            <v>18.57</v>
          </cell>
        </row>
        <row r="587">
          <cell r="B587">
            <v>2021</v>
          </cell>
          <cell r="G587">
            <v>18.57</v>
          </cell>
        </row>
        <row r="588">
          <cell r="B588">
            <v>2021</v>
          </cell>
          <cell r="G588">
            <v>18.329999999999998</v>
          </cell>
        </row>
        <row r="589">
          <cell r="B589">
            <v>2020</v>
          </cell>
          <cell r="G589">
            <v>19</v>
          </cell>
        </row>
        <row r="590">
          <cell r="B590">
            <v>2021</v>
          </cell>
          <cell r="G590">
            <v>18.100000000000001</v>
          </cell>
        </row>
        <row r="591">
          <cell r="G591">
            <v>16.89</v>
          </cell>
        </row>
        <row r="592">
          <cell r="B592">
            <v>2020</v>
          </cell>
          <cell r="G592">
            <v>18.75</v>
          </cell>
        </row>
        <row r="593">
          <cell r="B593">
            <v>2020</v>
          </cell>
          <cell r="G593">
            <v>18.75</v>
          </cell>
        </row>
        <row r="594">
          <cell r="G594">
            <v>16.670000000000002</v>
          </cell>
        </row>
        <row r="595">
          <cell r="B595">
            <v>2017</v>
          </cell>
          <cell r="G595">
            <v>14.42</v>
          </cell>
        </row>
        <row r="596">
          <cell r="B596">
            <v>2020</v>
          </cell>
          <cell r="G596">
            <v>18.5</v>
          </cell>
        </row>
        <row r="597">
          <cell r="B597">
            <v>2020</v>
          </cell>
          <cell r="G597">
            <v>18.5</v>
          </cell>
        </row>
        <row r="598">
          <cell r="G598">
            <v>16.440000000000001</v>
          </cell>
        </row>
        <row r="599">
          <cell r="B599">
            <v>2017</v>
          </cell>
          <cell r="G599">
            <v>14.23</v>
          </cell>
        </row>
        <row r="600">
          <cell r="B600">
            <v>2020</v>
          </cell>
          <cell r="G600">
            <v>18.25</v>
          </cell>
        </row>
        <row r="601">
          <cell r="B601">
            <v>2020</v>
          </cell>
          <cell r="G601">
            <v>18.25</v>
          </cell>
        </row>
        <row r="602">
          <cell r="G602">
            <v>16.22</v>
          </cell>
        </row>
        <row r="603">
          <cell r="B603">
            <v>2017</v>
          </cell>
          <cell r="G603">
            <v>14.04</v>
          </cell>
        </row>
        <row r="604">
          <cell r="B604">
            <v>2020</v>
          </cell>
          <cell r="G604">
            <v>18</v>
          </cell>
        </row>
        <row r="605">
          <cell r="B605">
            <v>2020</v>
          </cell>
          <cell r="G605">
            <v>18</v>
          </cell>
        </row>
        <row r="606">
          <cell r="G606">
            <v>16</v>
          </cell>
        </row>
        <row r="607">
          <cell r="B607">
            <v>2017</v>
          </cell>
          <cell r="G607">
            <v>13.85</v>
          </cell>
        </row>
        <row r="608">
          <cell r="B608">
            <v>2020</v>
          </cell>
          <cell r="G608">
            <v>17.75</v>
          </cell>
        </row>
        <row r="609">
          <cell r="B609">
            <v>2017</v>
          </cell>
          <cell r="G609">
            <v>13.65</v>
          </cell>
        </row>
        <row r="610">
          <cell r="B610">
            <v>2019</v>
          </cell>
          <cell r="G610">
            <v>18.18</v>
          </cell>
        </row>
        <row r="611">
          <cell r="B611">
            <v>2019</v>
          </cell>
          <cell r="G611">
            <v>18.18</v>
          </cell>
        </row>
        <row r="612">
          <cell r="B612">
            <v>2019</v>
          </cell>
          <cell r="G612">
            <v>17.91</v>
          </cell>
        </row>
        <row r="613">
          <cell r="B613">
            <v>2019</v>
          </cell>
          <cell r="G613">
            <v>17.91</v>
          </cell>
        </row>
        <row r="614">
          <cell r="B614">
            <v>2019</v>
          </cell>
          <cell r="G614">
            <v>17.649999999999999</v>
          </cell>
        </row>
        <row r="615">
          <cell r="B615">
            <v>2019</v>
          </cell>
          <cell r="G615">
            <v>17.649999999999999</v>
          </cell>
        </row>
        <row r="616">
          <cell r="B616">
            <v>2019</v>
          </cell>
          <cell r="G616">
            <v>17.38</v>
          </cell>
        </row>
        <row r="617">
          <cell r="B617">
            <v>2019</v>
          </cell>
          <cell r="G617">
            <v>17.38</v>
          </cell>
        </row>
        <row r="618">
          <cell r="B618">
            <v>2019</v>
          </cell>
          <cell r="G618">
            <v>17.11</v>
          </cell>
        </row>
        <row r="619">
          <cell r="B619">
            <v>2019</v>
          </cell>
          <cell r="G619">
            <v>17.11</v>
          </cell>
        </row>
        <row r="620">
          <cell r="B620">
            <v>2019</v>
          </cell>
          <cell r="G620">
            <v>16.84</v>
          </cell>
        </row>
        <row r="621">
          <cell r="B621">
            <v>2024</v>
          </cell>
          <cell r="G621">
            <v>20.29</v>
          </cell>
        </row>
        <row r="622">
          <cell r="B622">
            <v>2024</v>
          </cell>
          <cell r="G622">
            <v>20.14</v>
          </cell>
        </row>
        <row r="623">
          <cell r="B623">
            <v>2024</v>
          </cell>
          <cell r="G623">
            <v>20</v>
          </cell>
        </row>
        <row r="624">
          <cell r="B624">
            <v>2024</v>
          </cell>
          <cell r="G624">
            <v>19.86</v>
          </cell>
        </row>
        <row r="625">
          <cell r="B625">
            <v>2024</v>
          </cell>
          <cell r="G625">
            <v>19.600000000000001</v>
          </cell>
        </row>
        <row r="626">
          <cell r="B626">
            <v>2024</v>
          </cell>
          <cell r="G626">
            <v>19.71</v>
          </cell>
        </row>
        <row r="627">
          <cell r="B627">
            <v>2024</v>
          </cell>
          <cell r="G627">
            <v>19.45</v>
          </cell>
        </row>
        <row r="628">
          <cell r="B628">
            <v>2024</v>
          </cell>
          <cell r="G628">
            <v>19.57</v>
          </cell>
        </row>
        <row r="629">
          <cell r="B629">
            <v>2024</v>
          </cell>
          <cell r="G629">
            <v>19.309999999999999</v>
          </cell>
        </row>
        <row r="630">
          <cell r="B630">
            <v>2024</v>
          </cell>
          <cell r="G630">
            <v>23.51</v>
          </cell>
        </row>
        <row r="631">
          <cell r="B631">
            <v>2024</v>
          </cell>
          <cell r="G631">
            <v>19.16</v>
          </cell>
        </row>
        <row r="632">
          <cell r="B632">
            <v>2024</v>
          </cell>
          <cell r="G632">
            <v>23.33</v>
          </cell>
        </row>
        <row r="633">
          <cell r="B633">
            <v>2024</v>
          </cell>
          <cell r="G633">
            <v>19.850000000000001</v>
          </cell>
        </row>
        <row r="634">
          <cell r="B634">
            <v>2024</v>
          </cell>
          <cell r="G634">
            <v>19.02</v>
          </cell>
        </row>
        <row r="635">
          <cell r="B635">
            <v>2024</v>
          </cell>
          <cell r="G635">
            <v>23.16</v>
          </cell>
        </row>
        <row r="636">
          <cell r="B636">
            <v>2024</v>
          </cell>
          <cell r="G636">
            <v>19.7</v>
          </cell>
        </row>
        <row r="637">
          <cell r="B637">
            <v>2024</v>
          </cell>
          <cell r="G637">
            <v>19.7</v>
          </cell>
        </row>
        <row r="638">
          <cell r="B638">
            <v>2024</v>
          </cell>
          <cell r="G638">
            <v>18.88</v>
          </cell>
        </row>
        <row r="639">
          <cell r="B639">
            <v>2024</v>
          </cell>
          <cell r="G639">
            <v>22.98</v>
          </cell>
        </row>
        <row r="640">
          <cell r="B640">
            <v>2024</v>
          </cell>
          <cell r="G640">
            <v>19.55</v>
          </cell>
        </row>
        <row r="641">
          <cell r="B641">
            <v>2024</v>
          </cell>
          <cell r="G641">
            <v>19.55</v>
          </cell>
        </row>
        <row r="642">
          <cell r="B642">
            <v>2024</v>
          </cell>
          <cell r="G642">
            <v>19.399999999999999</v>
          </cell>
        </row>
        <row r="643">
          <cell r="B643">
            <v>2024</v>
          </cell>
          <cell r="G643">
            <v>19.399999999999999</v>
          </cell>
        </row>
        <row r="644">
          <cell r="B644">
            <v>2024</v>
          </cell>
          <cell r="G644">
            <v>19.25</v>
          </cell>
        </row>
        <row r="645">
          <cell r="B645">
            <v>2024</v>
          </cell>
          <cell r="G645">
            <v>19.100000000000001</v>
          </cell>
        </row>
        <row r="646">
          <cell r="B646">
            <v>2024</v>
          </cell>
          <cell r="G646">
            <v>23.38</v>
          </cell>
        </row>
        <row r="647">
          <cell r="B647">
            <v>2024</v>
          </cell>
          <cell r="G647">
            <v>23.15</v>
          </cell>
        </row>
        <row r="648">
          <cell r="B648">
            <v>2024</v>
          </cell>
          <cell r="G648">
            <v>23.57</v>
          </cell>
        </row>
        <row r="649">
          <cell r="B649">
            <v>2024</v>
          </cell>
          <cell r="G649">
            <v>22.92</v>
          </cell>
        </row>
        <row r="650">
          <cell r="B650">
            <v>2024</v>
          </cell>
          <cell r="G650">
            <v>23.33</v>
          </cell>
        </row>
        <row r="651">
          <cell r="B651">
            <v>2024</v>
          </cell>
          <cell r="G651">
            <v>23.1</v>
          </cell>
        </row>
        <row r="652">
          <cell r="B652">
            <v>2024</v>
          </cell>
          <cell r="G652">
            <v>23.1</v>
          </cell>
        </row>
        <row r="653">
          <cell r="B653">
            <v>2024</v>
          </cell>
          <cell r="G653">
            <v>22.56</v>
          </cell>
        </row>
        <row r="654">
          <cell r="B654">
            <v>2024</v>
          </cell>
          <cell r="G654">
            <v>22.56</v>
          </cell>
        </row>
        <row r="655">
          <cell r="B655">
            <v>2024</v>
          </cell>
          <cell r="G655">
            <v>19.8</v>
          </cell>
        </row>
        <row r="656">
          <cell r="B656">
            <v>2024</v>
          </cell>
          <cell r="G656">
            <v>22.86</v>
          </cell>
        </row>
        <row r="657">
          <cell r="B657">
            <v>2024</v>
          </cell>
          <cell r="G657">
            <v>22.86</v>
          </cell>
        </row>
        <row r="658">
          <cell r="B658">
            <v>2024</v>
          </cell>
          <cell r="G658">
            <v>22.33</v>
          </cell>
        </row>
        <row r="659">
          <cell r="B659">
            <v>2024</v>
          </cell>
          <cell r="G659">
            <v>22.33</v>
          </cell>
        </row>
        <row r="660">
          <cell r="B660">
            <v>2024</v>
          </cell>
          <cell r="G660">
            <v>19.59</v>
          </cell>
        </row>
        <row r="661">
          <cell r="B661">
            <v>2024</v>
          </cell>
          <cell r="G661">
            <v>22.62</v>
          </cell>
        </row>
        <row r="662">
          <cell r="B662">
            <v>2024</v>
          </cell>
          <cell r="G662">
            <v>22.62</v>
          </cell>
        </row>
        <row r="663">
          <cell r="B663">
            <v>2024</v>
          </cell>
          <cell r="G663">
            <v>22.09</v>
          </cell>
        </row>
        <row r="664">
          <cell r="B664">
            <v>2024</v>
          </cell>
          <cell r="G664">
            <v>22.09</v>
          </cell>
        </row>
        <row r="665">
          <cell r="B665">
            <v>2024</v>
          </cell>
          <cell r="G665">
            <v>19.39</v>
          </cell>
        </row>
        <row r="666">
          <cell r="B666">
            <v>2024</v>
          </cell>
          <cell r="G666">
            <v>21.99</v>
          </cell>
        </row>
        <row r="667">
          <cell r="B667">
            <v>2024</v>
          </cell>
          <cell r="G667">
            <v>22.38</v>
          </cell>
        </row>
        <row r="668">
          <cell r="B668">
            <v>2024</v>
          </cell>
          <cell r="G668">
            <v>22.38</v>
          </cell>
        </row>
        <row r="669">
          <cell r="B669">
            <v>2024</v>
          </cell>
          <cell r="G669">
            <v>21.86</v>
          </cell>
        </row>
        <row r="670">
          <cell r="B670">
            <v>2024</v>
          </cell>
          <cell r="G670">
            <v>21.86</v>
          </cell>
        </row>
        <row r="671">
          <cell r="B671">
            <v>2024</v>
          </cell>
          <cell r="G671">
            <v>21.86</v>
          </cell>
        </row>
        <row r="672">
          <cell r="B672">
            <v>2024</v>
          </cell>
          <cell r="G672">
            <v>19.18</v>
          </cell>
        </row>
        <row r="673">
          <cell r="B673">
            <v>2024</v>
          </cell>
          <cell r="G673">
            <v>19.18</v>
          </cell>
        </row>
        <row r="674">
          <cell r="B674">
            <v>2024</v>
          </cell>
          <cell r="G674">
            <v>21.76</v>
          </cell>
        </row>
        <row r="675">
          <cell r="B675">
            <v>2023</v>
          </cell>
          <cell r="G675">
            <v>22.68</v>
          </cell>
        </row>
        <row r="676">
          <cell r="B676">
            <v>2024</v>
          </cell>
          <cell r="G676">
            <v>22.14</v>
          </cell>
        </row>
        <row r="677">
          <cell r="B677">
            <v>2024</v>
          </cell>
          <cell r="G677">
            <v>21.63</v>
          </cell>
        </row>
        <row r="678">
          <cell r="B678">
            <v>2024</v>
          </cell>
          <cell r="G678">
            <v>21.63</v>
          </cell>
        </row>
        <row r="679">
          <cell r="B679">
            <v>2024</v>
          </cell>
          <cell r="G679">
            <v>21.63</v>
          </cell>
        </row>
        <row r="680">
          <cell r="B680">
            <v>2023</v>
          </cell>
          <cell r="G680">
            <v>21.53</v>
          </cell>
        </row>
        <row r="681">
          <cell r="B681">
            <v>2024</v>
          </cell>
          <cell r="G681">
            <v>18.98</v>
          </cell>
        </row>
        <row r="682">
          <cell r="B682">
            <v>2024</v>
          </cell>
          <cell r="G682">
            <v>18.98</v>
          </cell>
        </row>
        <row r="683">
          <cell r="B683">
            <v>2024</v>
          </cell>
          <cell r="G683">
            <v>21.53</v>
          </cell>
        </row>
        <row r="684">
          <cell r="B684">
            <v>2023</v>
          </cell>
          <cell r="G684">
            <v>22.44</v>
          </cell>
        </row>
        <row r="685">
          <cell r="B685">
            <v>2024</v>
          </cell>
          <cell r="G685">
            <v>21.9</v>
          </cell>
        </row>
        <row r="686">
          <cell r="B686">
            <v>2024</v>
          </cell>
          <cell r="G686">
            <v>21.4</v>
          </cell>
        </row>
        <row r="687">
          <cell r="B687">
            <v>2024</v>
          </cell>
          <cell r="G687">
            <v>21.4</v>
          </cell>
        </row>
        <row r="688">
          <cell r="B688">
            <v>2024</v>
          </cell>
          <cell r="G688">
            <v>21.4</v>
          </cell>
        </row>
        <row r="689">
          <cell r="B689">
            <v>2023</v>
          </cell>
          <cell r="G689">
            <v>21.3</v>
          </cell>
        </row>
        <row r="690">
          <cell r="B690">
            <v>2023</v>
          </cell>
          <cell r="G690">
            <v>21.3</v>
          </cell>
        </row>
        <row r="691">
          <cell r="B691">
            <v>2024</v>
          </cell>
          <cell r="G691">
            <v>18.78</v>
          </cell>
        </row>
        <row r="692">
          <cell r="B692">
            <v>2024</v>
          </cell>
          <cell r="G692">
            <v>18.78</v>
          </cell>
        </row>
        <row r="693">
          <cell r="B693">
            <v>2024</v>
          </cell>
          <cell r="G693">
            <v>21.3</v>
          </cell>
        </row>
        <row r="694">
          <cell r="B694">
            <v>2023</v>
          </cell>
          <cell r="G694">
            <v>22.2</v>
          </cell>
        </row>
        <row r="695">
          <cell r="B695">
            <v>2024</v>
          </cell>
          <cell r="G695">
            <v>21.16</v>
          </cell>
        </row>
        <row r="696">
          <cell r="B696">
            <v>2024</v>
          </cell>
          <cell r="G696">
            <v>21.16</v>
          </cell>
        </row>
        <row r="697">
          <cell r="B697">
            <v>2024</v>
          </cell>
          <cell r="G697">
            <v>21.16</v>
          </cell>
        </row>
        <row r="698">
          <cell r="B698">
            <v>2023</v>
          </cell>
          <cell r="G698">
            <v>21.06</v>
          </cell>
        </row>
        <row r="699">
          <cell r="B699">
            <v>2023</v>
          </cell>
          <cell r="G699">
            <v>21.06</v>
          </cell>
        </row>
        <row r="700">
          <cell r="B700">
            <v>2023</v>
          </cell>
          <cell r="G700">
            <v>18.96</v>
          </cell>
        </row>
        <row r="701">
          <cell r="B701">
            <v>2024</v>
          </cell>
          <cell r="G701">
            <v>18.57</v>
          </cell>
        </row>
        <row r="702">
          <cell r="B702">
            <v>2024</v>
          </cell>
          <cell r="G702">
            <v>21.06</v>
          </cell>
        </row>
        <row r="703">
          <cell r="B703">
            <v>2024</v>
          </cell>
          <cell r="G703">
            <v>21.88</v>
          </cell>
        </row>
        <row r="704">
          <cell r="G704">
            <v>21.95</v>
          </cell>
        </row>
        <row r="705">
          <cell r="B705">
            <v>2023</v>
          </cell>
          <cell r="G705">
            <v>21.95</v>
          </cell>
        </row>
        <row r="706">
          <cell r="B706">
            <v>2024</v>
          </cell>
          <cell r="G706">
            <v>20.93</v>
          </cell>
        </row>
        <row r="707">
          <cell r="B707">
            <v>2024</v>
          </cell>
          <cell r="G707">
            <v>20.93</v>
          </cell>
        </row>
        <row r="708">
          <cell r="B708">
            <v>2024</v>
          </cell>
          <cell r="G708">
            <v>20.93</v>
          </cell>
        </row>
        <row r="709">
          <cell r="B709">
            <v>2023</v>
          </cell>
          <cell r="G709">
            <v>20.83</v>
          </cell>
        </row>
        <row r="710">
          <cell r="B710">
            <v>2023</v>
          </cell>
          <cell r="G710">
            <v>20.83</v>
          </cell>
        </row>
        <row r="711">
          <cell r="B711">
            <v>2023</v>
          </cell>
          <cell r="G711">
            <v>18.75</v>
          </cell>
        </row>
        <row r="712">
          <cell r="B712">
            <v>2024</v>
          </cell>
          <cell r="G712">
            <v>18.37</v>
          </cell>
        </row>
        <row r="713">
          <cell r="B713">
            <v>2022</v>
          </cell>
          <cell r="G713">
            <v>21.63</v>
          </cell>
        </row>
        <row r="714">
          <cell r="B714">
            <v>2024</v>
          </cell>
          <cell r="G714">
            <v>21.63</v>
          </cell>
        </row>
        <row r="715">
          <cell r="B715">
            <v>2024</v>
          </cell>
          <cell r="G715">
            <v>21.63</v>
          </cell>
        </row>
        <row r="716">
          <cell r="G716">
            <v>21.71</v>
          </cell>
        </row>
        <row r="717">
          <cell r="B717">
            <v>2024</v>
          </cell>
          <cell r="G717">
            <v>20.7</v>
          </cell>
        </row>
        <row r="718">
          <cell r="B718">
            <v>2023</v>
          </cell>
          <cell r="G718">
            <v>20.6</v>
          </cell>
        </row>
        <row r="719">
          <cell r="B719">
            <v>2023</v>
          </cell>
          <cell r="G719">
            <v>18.54</v>
          </cell>
        </row>
        <row r="720">
          <cell r="B720">
            <v>2024</v>
          </cell>
          <cell r="G720">
            <v>18.16</v>
          </cell>
        </row>
        <row r="721">
          <cell r="B721">
            <v>2022</v>
          </cell>
          <cell r="G721">
            <v>21.39</v>
          </cell>
        </row>
        <row r="722">
          <cell r="B722">
            <v>2024</v>
          </cell>
          <cell r="G722">
            <v>21.39</v>
          </cell>
        </row>
        <row r="723">
          <cell r="B723">
            <v>2024</v>
          </cell>
          <cell r="G723">
            <v>21.39</v>
          </cell>
        </row>
        <row r="724">
          <cell r="G724">
            <v>21.46</v>
          </cell>
        </row>
        <row r="725">
          <cell r="B725">
            <v>2024</v>
          </cell>
          <cell r="G725">
            <v>20.47</v>
          </cell>
        </row>
        <row r="726">
          <cell r="B726">
            <v>2023</v>
          </cell>
          <cell r="G726">
            <v>18.329999999999998</v>
          </cell>
        </row>
        <row r="727">
          <cell r="B727">
            <v>2024</v>
          </cell>
          <cell r="G727">
            <v>17.96</v>
          </cell>
        </row>
        <row r="728">
          <cell r="B728">
            <v>2022</v>
          </cell>
          <cell r="G728">
            <v>21.15</v>
          </cell>
        </row>
        <row r="729">
          <cell r="B729">
            <v>2024</v>
          </cell>
          <cell r="G729">
            <v>21.15</v>
          </cell>
        </row>
        <row r="730">
          <cell r="B730">
            <v>2024</v>
          </cell>
          <cell r="G730">
            <v>21.15</v>
          </cell>
        </row>
        <row r="731">
          <cell r="B731">
            <v>2024</v>
          </cell>
          <cell r="G731">
            <v>21.15</v>
          </cell>
        </row>
        <row r="732">
          <cell r="G732">
            <v>21.22</v>
          </cell>
        </row>
        <row r="733">
          <cell r="B733">
            <v>2023</v>
          </cell>
          <cell r="G733">
            <v>20.91</v>
          </cell>
        </row>
        <row r="734">
          <cell r="B734">
            <v>2022</v>
          </cell>
          <cell r="G734">
            <v>20.91</v>
          </cell>
        </row>
        <row r="735">
          <cell r="B735">
            <v>2024</v>
          </cell>
          <cell r="G735">
            <v>20.91</v>
          </cell>
        </row>
        <row r="736">
          <cell r="B736">
            <v>2024</v>
          </cell>
          <cell r="G736">
            <v>20.91</v>
          </cell>
        </row>
        <row r="737">
          <cell r="B737">
            <v>2024</v>
          </cell>
          <cell r="G737">
            <v>20.91</v>
          </cell>
        </row>
        <row r="738">
          <cell r="B738">
            <v>2018</v>
          </cell>
          <cell r="G738">
            <v>17.13</v>
          </cell>
        </row>
        <row r="739">
          <cell r="G739">
            <v>17.920000000000002</v>
          </cell>
        </row>
        <row r="740">
          <cell r="B740">
            <v>2023</v>
          </cell>
          <cell r="G740">
            <v>20.67</v>
          </cell>
        </row>
        <row r="741">
          <cell r="B741">
            <v>2024</v>
          </cell>
          <cell r="G741">
            <v>20.67</v>
          </cell>
        </row>
        <row r="742">
          <cell r="B742">
            <v>2024</v>
          </cell>
          <cell r="G742">
            <v>20.67</v>
          </cell>
        </row>
        <row r="743">
          <cell r="B743">
            <v>2024</v>
          </cell>
          <cell r="G743">
            <v>20.67</v>
          </cell>
        </row>
        <row r="744">
          <cell r="B744">
            <v>2023</v>
          </cell>
          <cell r="G744">
            <v>20.43</v>
          </cell>
        </row>
        <row r="745">
          <cell r="B745">
            <v>2024</v>
          </cell>
          <cell r="G745">
            <v>20.43</v>
          </cell>
        </row>
        <row r="746">
          <cell r="B746">
            <v>2024</v>
          </cell>
          <cell r="G746">
            <v>20.43</v>
          </cell>
        </row>
        <row r="747">
          <cell r="B747">
            <v>2024</v>
          </cell>
          <cell r="G747">
            <v>20.43</v>
          </cell>
        </row>
        <row r="748">
          <cell r="B748">
            <v>2023</v>
          </cell>
          <cell r="G748">
            <v>20.190000000000001</v>
          </cell>
        </row>
        <row r="749">
          <cell r="B749">
            <v>2024</v>
          </cell>
          <cell r="G749">
            <v>20.190000000000001</v>
          </cell>
        </row>
        <row r="750">
          <cell r="B750">
            <v>2024</v>
          </cell>
          <cell r="G750">
            <v>20.190000000000001</v>
          </cell>
        </row>
        <row r="751">
          <cell r="B751">
            <v>2024</v>
          </cell>
          <cell r="G751">
            <v>20.190000000000001</v>
          </cell>
        </row>
        <row r="752">
          <cell r="B752">
            <v>2023</v>
          </cell>
          <cell r="G752">
            <v>19.95</v>
          </cell>
        </row>
        <row r="753">
          <cell r="B753">
            <v>2024</v>
          </cell>
          <cell r="G753">
            <v>19.95</v>
          </cell>
        </row>
        <row r="754">
          <cell r="B754">
            <v>2015</v>
          </cell>
          <cell r="G754">
            <v>17.579999999999998</v>
          </cell>
        </row>
        <row r="755">
          <cell r="B755">
            <v>2017</v>
          </cell>
          <cell r="G755">
            <v>17.2</v>
          </cell>
        </row>
        <row r="756">
          <cell r="B756">
            <v>2017</v>
          </cell>
          <cell r="G756">
            <v>16.940000000000001</v>
          </cell>
        </row>
        <row r="757">
          <cell r="B757">
            <v>2016</v>
          </cell>
          <cell r="G757">
            <v>16.329999999999998</v>
          </cell>
        </row>
        <row r="758">
          <cell r="B758">
            <v>2016</v>
          </cell>
          <cell r="G758">
            <v>15.67</v>
          </cell>
        </row>
        <row r="759">
          <cell r="B759">
            <v>2017</v>
          </cell>
          <cell r="G759">
            <v>15.56</v>
          </cell>
        </row>
        <row r="760">
          <cell r="B760">
            <v>2017</v>
          </cell>
          <cell r="G760">
            <v>15.33</v>
          </cell>
        </row>
        <row r="761">
          <cell r="B761">
            <v>2018</v>
          </cell>
          <cell r="G761">
            <v>15.11</v>
          </cell>
        </row>
        <row r="762">
          <cell r="B762">
            <v>2017</v>
          </cell>
          <cell r="G762">
            <v>15.11</v>
          </cell>
        </row>
        <row r="763">
          <cell r="B763">
            <v>2018</v>
          </cell>
          <cell r="G763">
            <v>14.89</v>
          </cell>
        </row>
        <row r="764">
          <cell r="B764">
            <v>2018</v>
          </cell>
          <cell r="G764">
            <v>14.67</v>
          </cell>
        </row>
        <row r="765">
          <cell r="B765">
            <v>2018</v>
          </cell>
          <cell r="G765">
            <v>14.44</v>
          </cell>
        </row>
        <row r="766">
          <cell r="B766">
            <v>2018</v>
          </cell>
          <cell r="G766">
            <v>14.22</v>
          </cell>
        </row>
        <row r="767">
          <cell r="G767">
            <v>15.53</v>
          </cell>
        </row>
        <row r="768">
          <cell r="G768">
            <v>15.26</v>
          </cell>
        </row>
        <row r="769">
          <cell r="B769">
            <v>2022</v>
          </cell>
          <cell r="G769">
            <v>17.170000000000002</v>
          </cell>
        </row>
        <row r="770">
          <cell r="G770">
            <v>15</v>
          </cell>
        </row>
        <row r="771">
          <cell r="G771">
            <v>15.83</v>
          </cell>
        </row>
        <row r="772">
          <cell r="B772">
            <v>2022</v>
          </cell>
          <cell r="G772">
            <v>16.87</v>
          </cell>
        </row>
        <row r="773">
          <cell r="G773">
            <v>14.74</v>
          </cell>
        </row>
        <row r="774">
          <cell r="G774">
            <v>15.56</v>
          </cell>
        </row>
        <row r="775">
          <cell r="B775">
            <v>2022</v>
          </cell>
          <cell r="G775">
            <v>16.57</v>
          </cell>
        </row>
        <row r="776">
          <cell r="B776">
            <v>2020</v>
          </cell>
          <cell r="G776">
            <v>15.28</v>
          </cell>
        </row>
        <row r="777">
          <cell r="G777">
            <v>14.47</v>
          </cell>
        </row>
        <row r="778">
          <cell r="G778">
            <v>15.28</v>
          </cell>
        </row>
        <row r="779">
          <cell r="B779">
            <v>2017</v>
          </cell>
          <cell r="G779">
            <v>15.11</v>
          </cell>
        </row>
        <row r="780">
          <cell r="B780">
            <v>2014</v>
          </cell>
          <cell r="G780">
            <v>14.78</v>
          </cell>
        </row>
        <row r="781">
          <cell r="B781">
            <v>2022</v>
          </cell>
          <cell r="G781">
            <v>16.27</v>
          </cell>
        </row>
        <row r="782">
          <cell r="B782">
            <v>2020</v>
          </cell>
          <cell r="G782">
            <v>15</v>
          </cell>
        </row>
        <row r="783">
          <cell r="G783">
            <v>15</v>
          </cell>
        </row>
        <row r="784">
          <cell r="B784">
            <v>2017</v>
          </cell>
          <cell r="G784">
            <v>14.84</v>
          </cell>
        </row>
        <row r="785">
          <cell r="B785">
            <v>2016</v>
          </cell>
          <cell r="G785">
            <v>14.52</v>
          </cell>
        </row>
        <row r="786">
          <cell r="B786">
            <v>2014</v>
          </cell>
          <cell r="G786">
            <v>14.52</v>
          </cell>
        </row>
        <row r="787">
          <cell r="B787">
            <v>2022</v>
          </cell>
          <cell r="G787">
            <v>15.96</v>
          </cell>
        </row>
        <row r="788">
          <cell r="B788">
            <v>2020</v>
          </cell>
          <cell r="G788">
            <v>14.72</v>
          </cell>
        </row>
        <row r="789">
          <cell r="B789">
            <v>2021</v>
          </cell>
          <cell r="G789">
            <v>14.72</v>
          </cell>
        </row>
        <row r="790">
          <cell r="B790">
            <v>2015</v>
          </cell>
          <cell r="G790">
            <v>14.56</v>
          </cell>
        </row>
        <row r="791">
          <cell r="B791">
            <v>2015</v>
          </cell>
          <cell r="G791">
            <v>14.1</v>
          </cell>
        </row>
        <row r="792">
          <cell r="B792">
            <v>2017</v>
          </cell>
          <cell r="G792">
            <v>14.56</v>
          </cell>
        </row>
        <row r="793">
          <cell r="B793">
            <v>2012</v>
          </cell>
          <cell r="G793">
            <v>14.32</v>
          </cell>
        </row>
        <row r="794">
          <cell r="B794">
            <v>2012</v>
          </cell>
          <cell r="G794">
            <v>13.38</v>
          </cell>
        </row>
        <row r="795">
          <cell r="B795">
            <v>2016</v>
          </cell>
          <cell r="G795">
            <v>14.25</v>
          </cell>
        </row>
        <row r="796">
          <cell r="B796">
            <v>2014</v>
          </cell>
          <cell r="G796">
            <v>14.25</v>
          </cell>
        </row>
        <row r="797">
          <cell r="B797">
            <v>2022</v>
          </cell>
          <cell r="G797">
            <v>15.66</v>
          </cell>
        </row>
        <row r="798">
          <cell r="B798">
            <v>2020</v>
          </cell>
          <cell r="G798">
            <v>14.44</v>
          </cell>
        </row>
        <row r="799">
          <cell r="B799">
            <v>2011</v>
          </cell>
          <cell r="G799">
            <v>13.33</v>
          </cell>
        </row>
        <row r="800">
          <cell r="B800">
            <v>2015</v>
          </cell>
          <cell r="G800">
            <v>14.29</v>
          </cell>
        </row>
        <row r="801">
          <cell r="B801">
            <v>2015</v>
          </cell>
          <cell r="G801">
            <v>13.83</v>
          </cell>
        </row>
        <row r="802">
          <cell r="B802">
            <v>2017</v>
          </cell>
          <cell r="G802">
            <v>14.29</v>
          </cell>
        </row>
        <row r="803">
          <cell r="B803">
            <v>2012</v>
          </cell>
          <cell r="G803">
            <v>14.05</v>
          </cell>
        </row>
        <row r="804">
          <cell r="B804">
            <v>2012</v>
          </cell>
          <cell r="G804">
            <v>13.13</v>
          </cell>
        </row>
        <row r="805">
          <cell r="B805">
            <v>2016</v>
          </cell>
          <cell r="G805">
            <v>13.98</v>
          </cell>
        </row>
        <row r="806">
          <cell r="B806">
            <v>2014</v>
          </cell>
          <cell r="G806">
            <v>13.98</v>
          </cell>
        </row>
        <row r="807">
          <cell r="B807">
            <v>2011</v>
          </cell>
          <cell r="G807">
            <v>13.08</v>
          </cell>
        </row>
        <row r="808">
          <cell r="B808">
            <v>2015</v>
          </cell>
          <cell r="G808">
            <v>14.01</v>
          </cell>
        </row>
        <row r="809">
          <cell r="B809">
            <v>2012</v>
          </cell>
          <cell r="G809">
            <v>14.17</v>
          </cell>
        </row>
        <row r="810">
          <cell r="B810">
            <v>2015</v>
          </cell>
          <cell r="G810">
            <v>13.56</v>
          </cell>
        </row>
        <row r="811">
          <cell r="B811">
            <v>2017</v>
          </cell>
          <cell r="G811">
            <v>14.01</v>
          </cell>
        </row>
        <row r="812">
          <cell r="B812">
            <v>2012</v>
          </cell>
          <cell r="G812">
            <v>13.78</v>
          </cell>
        </row>
        <row r="813">
          <cell r="B813">
            <v>2012</v>
          </cell>
          <cell r="G813">
            <v>12.88</v>
          </cell>
        </row>
        <row r="814">
          <cell r="B814">
            <v>2016</v>
          </cell>
          <cell r="G814">
            <v>13.71</v>
          </cell>
        </row>
        <row r="815">
          <cell r="B815">
            <v>2011</v>
          </cell>
          <cell r="G815">
            <v>12.82</v>
          </cell>
        </row>
        <row r="816">
          <cell r="B816">
            <v>2015</v>
          </cell>
          <cell r="G816">
            <v>13.74</v>
          </cell>
        </row>
        <row r="817">
          <cell r="B817">
            <v>2011</v>
          </cell>
          <cell r="G817">
            <v>12.82</v>
          </cell>
        </row>
        <row r="818">
          <cell r="B818">
            <v>2012</v>
          </cell>
          <cell r="G818">
            <v>13.89</v>
          </cell>
        </row>
        <row r="819">
          <cell r="B819">
            <v>2012</v>
          </cell>
          <cell r="G819">
            <v>13.51</v>
          </cell>
        </row>
        <row r="820">
          <cell r="B820">
            <v>2012</v>
          </cell>
          <cell r="G820">
            <v>12.63</v>
          </cell>
        </row>
        <row r="821">
          <cell r="B821">
            <v>2011</v>
          </cell>
          <cell r="G821">
            <v>12.56</v>
          </cell>
        </row>
        <row r="822">
          <cell r="B822">
            <v>2015</v>
          </cell>
          <cell r="G822">
            <v>13.46</v>
          </cell>
        </row>
        <row r="823">
          <cell r="B823">
            <v>2011</v>
          </cell>
          <cell r="G823">
            <v>12.56</v>
          </cell>
        </row>
        <row r="824">
          <cell r="B824">
            <v>2012</v>
          </cell>
          <cell r="G824">
            <v>13.61</v>
          </cell>
        </row>
        <row r="825">
          <cell r="B825">
            <v>2012</v>
          </cell>
          <cell r="G825">
            <v>13.24</v>
          </cell>
        </row>
        <row r="826">
          <cell r="G826">
            <v>12.89</v>
          </cell>
        </row>
        <row r="827">
          <cell r="B827">
            <v>2011</v>
          </cell>
          <cell r="G827">
            <v>12.31</v>
          </cell>
        </row>
        <row r="828">
          <cell r="B828">
            <v>2012</v>
          </cell>
          <cell r="G828">
            <v>13.33</v>
          </cell>
        </row>
        <row r="829">
          <cell r="G829">
            <v>12.63</v>
          </cell>
        </row>
        <row r="830">
          <cell r="B830">
            <v>2011</v>
          </cell>
          <cell r="G830">
            <v>12.05</v>
          </cell>
        </row>
        <row r="831">
          <cell r="B831">
            <v>2012</v>
          </cell>
          <cell r="G831">
            <v>13.06</v>
          </cell>
        </row>
        <row r="832">
          <cell r="G832">
            <v>12.37</v>
          </cell>
        </row>
        <row r="833">
          <cell r="B833">
            <v>2011</v>
          </cell>
          <cell r="G833">
            <v>11.79</v>
          </cell>
        </row>
        <row r="834">
          <cell r="G834">
            <v>12.11</v>
          </cell>
        </row>
        <row r="835">
          <cell r="B835">
            <v>2011</v>
          </cell>
          <cell r="G835">
            <v>11.54</v>
          </cell>
        </row>
        <row r="836">
          <cell r="G836">
            <v>11.84</v>
          </cell>
        </row>
        <row r="837">
          <cell r="B837">
            <v>2011</v>
          </cell>
          <cell r="G837">
            <v>11.28</v>
          </cell>
        </row>
        <row r="838">
          <cell r="B838">
            <v>2011</v>
          </cell>
          <cell r="G838">
            <v>11.03</v>
          </cell>
        </row>
        <row r="839">
          <cell r="B839">
            <v>2011</v>
          </cell>
          <cell r="G839">
            <v>10.77</v>
          </cell>
        </row>
        <row r="840">
          <cell r="B840">
            <v>2011</v>
          </cell>
          <cell r="G840">
            <v>10.51</v>
          </cell>
        </row>
        <row r="841">
          <cell r="B841">
            <v>2011</v>
          </cell>
          <cell r="G841">
            <v>10.26</v>
          </cell>
        </row>
        <row r="842">
          <cell r="B842">
            <v>2013</v>
          </cell>
          <cell r="G842">
            <v>13.42</v>
          </cell>
        </row>
        <row r="843">
          <cell r="B843">
            <v>2013</v>
          </cell>
          <cell r="G843">
            <v>13.09</v>
          </cell>
        </row>
        <row r="844">
          <cell r="B844">
            <v>2013</v>
          </cell>
          <cell r="G844">
            <v>12.75</v>
          </cell>
        </row>
        <row r="845">
          <cell r="B845">
            <v>2010</v>
          </cell>
          <cell r="G845">
            <v>11.86</v>
          </cell>
        </row>
        <row r="846">
          <cell r="B846">
            <v>2006</v>
          </cell>
          <cell r="G846">
            <v>11.86</v>
          </cell>
        </row>
        <row r="847">
          <cell r="B847">
            <v>2009</v>
          </cell>
          <cell r="G847">
            <v>10.76</v>
          </cell>
        </row>
        <row r="848">
          <cell r="B848">
            <v>2008</v>
          </cell>
          <cell r="G848">
            <v>11.94</v>
          </cell>
        </row>
        <row r="849">
          <cell r="B849">
            <v>2010</v>
          </cell>
          <cell r="G849">
            <v>11.54</v>
          </cell>
        </row>
        <row r="850">
          <cell r="B850">
            <v>2006</v>
          </cell>
          <cell r="G850">
            <v>11.54</v>
          </cell>
        </row>
        <row r="851">
          <cell r="B851">
            <v>2009</v>
          </cell>
          <cell r="G851">
            <v>10.47</v>
          </cell>
        </row>
        <row r="852">
          <cell r="B852">
            <v>2007</v>
          </cell>
          <cell r="G852">
            <v>11.61</v>
          </cell>
        </row>
        <row r="853">
          <cell r="B853">
            <v>2008</v>
          </cell>
          <cell r="G853">
            <v>11.61</v>
          </cell>
        </row>
        <row r="854">
          <cell r="B854">
            <v>2010</v>
          </cell>
          <cell r="G854">
            <v>11.22</v>
          </cell>
        </row>
        <row r="855">
          <cell r="B855">
            <v>2006</v>
          </cell>
          <cell r="G855">
            <v>11.22</v>
          </cell>
        </row>
        <row r="856">
          <cell r="B856">
            <v>2007</v>
          </cell>
          <cell r="G856">
            <v>11.29</v>
          </cell>
        </row>
        <row r="857">
          <cell r="B857">
            <v>2008</v>
          </cell>
          <cell r="G857">
            <v>11.29</v>
          </cell>
        </row>
        <row r="858">
          <cell r="B858">
            <v>2006</v>
          </cell>
          <cell r="G858">
            <v>10.9</v>
          </cell>
        </row>
        <row r="859">
          <cell r="B859">
            <v>2007</v>
          </cell>
          <cell r="G859">
            <v>10.97</v>
          </cell>
        </row>
        <row r="860">
          <cell r="B860">
            <v>2008</v>
          </cell>
          <cell r="G860">
            <v>10.97</v>
          </cell>
        </row>
        <row r="861">
          <cell r="B861">
            <v>2006</v>
          </cell>
          <cell r="G861">
            <v>10.58</v>
          </cell>
        </row>
        <row r="862">
          <cell r="B862">
            <v>2007</v>
          </cell>
          <cell r="G862">
            <v>10.65</v>
          </cell>
        </row>
        <row r="863">
          <cell r="B863">
            <v>2006</v>
          </cell>
          <cell r="G863">
            <v>10.26</v>
          </cell>
        </row>
      </sheetData>
      <sheetData sheetId="1" refreshError="1"/>
      <sheetData sheetId="2" refreshError="1"/>
      <sheetData sheetId="3" refreshError="1"/>
      <sheetData sheetId="4" refreshError="1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7"/>
  <sheetViews>
    <sheetView tabSelected="1" topLeftCell="A16" zoomScale="124" zoomScaleNormal="124" workbookViewId="0">
      <selection activeCell="A26" sqref="A26:XFD26"/>
    </sheetView>
  </sheetViews>
  <sheetFormatPr defaultColWidth="8.85546875" defaultRowHeight="15" x14ac:dyDescent="0.25"/>
  <cols>
    <col min="2" max="3" width="8.85546875" style="1"/>
    <col min="4" max="4" width="14.28515625" customWidth="1"/>
    <col min="5" max="5" width="8.85546875" style="2"/>
    <col min="6" max="6" width="9.140625" style="2" bestFit="1" customWidth="1"/>
    <col min="7" max="7" width="8.85546875" style="4"/>
    <col min="8" max="8" width="15.7109375" customWidth="1"/>
    <col min="11" max="11" width="27.85546875" customWidth="1"/>
    <col min="13" max="13" width="8.85546875" customWidth="1"/>
  </cols>
  <sheetData>
    <row r="1" spans="1:14" x14ac:dyDescent="0.25">
      <c r="A1" t="s">
        <v>0</v>
      </c>
      <c r="B1" s="1" t="s">
        <v>2</v>
      </c>
      <c r="C1" s="1" t="s">
        <v>3</v>
      </c>
      <c r="D1" t="s">
        <v>1</v>
      </c>
      <c r="E1" s="2" t="s">
        <v>4</v>
      </c>
      <c r="F1" s="2" t="s">
        <v>5</v>
      </c>
      <c r="G1" s="4" t="s">
        <v>6</v>
      </c>
      <c r="H1" t="s">
        <v>9</v>
      </c>
      <c r="I1" s="1" t="s">
        <v>7</v>
      </c>
      <c r="J1" t="s">
        <v>8</v>
      </c>
      <c r="K1" t="s">
        <v>11</v>
      </c>
    </row>
    <row r="2" spans="1:14" x14ac:dyDescent="0.25">
      <c r="A2">
        <v>1996</v>
      </c>
      <c r="B2" s="1">
        <v>57.8</v>
      </c>
      <c r="C2" s="1">
        <f>B2/1000</f>
        <v>5.7799999999999997E-2</v>
      </c>
      <c r="D2" s="1">
        <f>C2</f>
        <v>5.7799999999999997E-2</v>
      </c>
      <c r="E2" s="2">
        <v>0.86</v>
      </c>
      <c r="F2" s="2">
        <v>0.86</v>
      </c>
      <c r="G2" s="6">
        <v>5.3999999999999999E-2</v>
      </c>
      <c r="H2" s="1">
        <v>104.85944636905512</v>
      </c>
      <c r="I2" s="1">
        <v>119.3832118</v>
      </c>
      <c r="J2" s="7">
        <v>60.072914902249053</v>
      </c>
      <c r="K2" s="7">
        <v>6.5494938133858271</v>
      </c>
      <c r="M2">
        <v>6.2459740540062931</v>
      </c>
      <c r="N2" s="7">
        <v>6.5494938133858271</v>
      </c>
    </row>
    <row r="3" spans="1:14" x14ac:dyDescent="0.25">
      <c r="A3">
        <v>1997</v>
      </c>
      <c r="B3" s="1">
        <v>17.900000000000006</v>
      </c>
      <c r="C3" s="1">
        <f t="shared" ref="C3:C66" si="0">B3/1000</f>
        <v>1.7900000000000006E-2</v>
      </c>
      <c r="D3" s="1">
        <f>C3+D2</f>
        <v>7.5700000000000003E-2</v>
      </c>
      <c r="E3" s="2">
        <v>0.88</v>
      </c>
      <c r="F3" s="2">
        <v>0.88</v>
      </c>
      <c r="G3" s="6">
        <v>5.3999999999999999E-2</v>
      </c>
      <c r="H3" s="1">
        <v>100.77382653059004</v>
      </c>
      <c r="I3" s="1">
        <v>116.8479943</v>
      </c>
      <c r="J3" s="7">
        <v>61.634854386899654</v>
      </c>
      <c r="K3" s="7">
        <v>6.328804347826086</v>
      </c>
      <c r="M3" s="1">
        <v>6.2802064441851559</v>
      </c>
      <c r="N3" s="7">
        <v>6.328804347826086</v>
      </c>
    </row>
    <row r="4" spans="1:14" x14ac:dyDescent="0.25">
      <c r="A4">
        <v>1998</v>
      </c>
      <c r="B4" s="1">
        <v>16.799999999999997</v>
      </c>
      <c r="C4" s="1">
        <f t="shared" si="0"/>
        <v>1.6799999999999995E-2</v>
      </c>
      <c r="D4" s="1">
        <f t="shared" ref="D4:D67" si="1">C4+D3</f>
        <v>9.2499999999999999E-2</v>
      </c>
      <c r="E4" s="2">
        <v>0.88</v>
      </c>
      <c r="F4" s="2">
        <v>0.88</v>
      </c>
      <c r="G4" s="6">
        <v>5.3999999999999999E-2</v>
      </c>
      <c r="H4" s="1">
        <v>98.009014107274126</v>
      </c>
      <c r="I4" s="1">
        <v>114.36661460000001</v>
      </c>
      <c r="J4" s="7">
        <v>62.500111121242483</v>
      </c>
      <c r="K4" s="7">
        <v>6.1141982059724347</v>
      </c>
      <c r="M4" s="1">
        <v>6.2384039485186955</v>
      </c>
      <c r="N4" s="7">
        <v>6.1141982059724347</v>
      </c>
    </row>
    <row r="5" spans="1:14" x14ac:dyDescent="0.25">
      <c r="A5">
        <v>1999</v>
      </c>
      <c r="B5" s="1">
        <v>24.5</v>
      </c>
      <c r="C5" s="1">
        <f t="shared" si="0"/>
        <v>2.4500000000000001E-2</v>
      </c>
      <c r="D5" s="1">
        <f t="shared" si="1"/>
        <v>0.11699999999999999</v>
      </c>
      <c r="E5" s="2">
        <v>0.89</v>
      </c>
      <c r="F5" s="2">
        <v>0.89</v>
      </c>
      <c r="G5" s="6">
        <v>5.3999999999999999E-2</v>
      </c>
      <c r="H5" s="1">
        <v>96.104525677416916</v>
      </c>
      <c r="I5" s="1">
        <v>111.9379294</v>
      </c>
      <c r="J5" s="7">
        <v>62.872128340646903</v>
      </c>
      <c r="K5" s="7">
        <v>5.9054272764350451</v>
      </c>
      <c r="M5" s="1">
        <v>6.144796235982807</v>
      </c>
      <c r="N5" s="7">
        <v>5.9054272764350451</v>
      </c>
    </row>
    <row r="6" spans="1:14" x14ac:dyDescent="0.25">
      <c r="A6">
        <v>2000</v>
      </c>
      <c r="B6" s="1">
        <v>65.099999999999994</v>
      </c>
      <c r="C6" s="1">
        <f t="shared" si="0"/>
        <v>6.5099999999999991E-2</v>
      </c>
      <c r="D6" s="1">
        <f t="shared" si="1"/>
        <v>0.18209999999999998</v>
      </c>
      <c r="E6" s="2">
        <v>0.9</v>
      </c>
      <c r="F6" s="2">
        <v>0.9</v>
      </c>
      <c r="G6" s="6">
        <v>5.3999999999999999E-2</v>
      </c>
      <c r="H6" s="1">
        <v>94.097836755067078</v>
      </c>
      <c r="I6" s="1">
        <v>109.5608196</v>
      </c>
      <c r="J6" s="7">
        <v>63.351635579127176</v>
      </c>
      <c r="K6" s="7">
        <v>5.7022567593144569</v>
      </c>
      <c r="M6" s="1">
        <v>6.0599233265661612</v>
      </c>
      <c r="N6" s="7">
        <v>5.7022567593144569</v>
      </c>
    </row>
    <row r="7" spans="1:14" x14ac:dyDescent="0.25">
      <c r="A7">
        <v>2001</v>
      </c>
      <c r="B7" s="1">
        <v>97.000000000000028</v>
      </c>
      <c r="C7" s="1">
        <f t="shared" si="0"/>
        <v>9.7000000000000031E-2</v>
      </c>
      <c r="D7" s="1">
        <f t="shared" si="1"/>
        <v>0.27910000000000001</v>
      </c>
      <c r="E7" s="2">
        <v>0.91</v>
      </c>
      <c r="F7" s="2">
        <v>0.91</v>
      </c>
      <c r="G7" s="6">
        <v>5.3999999999999999E-2</v>
      </c>
      <c r="H7" s="1">
        <v>92.372583114779417</v>
      </c>
      <c r="I7" s="1">
        <v>107.23419010000001</v>
      </c>
      <c r="J7" s="7">
        <v>63.680723682558863</v>
      </c>
      <c r="K7" s="7">
        <v>5.5044642860294113</v>
      </c>
      <c r="M7" s="1">
        <v>5.9589805767255939</v>
      </c>
      <c r="N7" s="7">
        <v>5.5044642860294113</v>
      </c>
    </row>
    <row r="8" spans="1:14" x14ac:dyDescent="0.25">
      <c r="A8">
        <v>2002</v>
      </c>
      <c r="B8" s="1">
        <v>82.899999999999977</v>
      </c>
      <c r="C8" s="1">
        <f t="shared" si="0"/>
        <v>8.2899999999999974E-2</v>
      </c>
      <c r="D8" s="1">
        <f t="shared" si="1"/>
        <v>0.36199999999999999</v>
      </c>
      <c r="E8" s="2">
        <v>0.94</v>
      </c>
      <c r="F8" s="2">
        <v>0.94</v>
      </c>
      <c r="G8" s="6">
        <v>5.3999999999999999E-2</v>
      </c>
      <c r="H8" s="1">
        <v>91.101824297668301</v>
      </c>
      <c r="I8" s="1">
        <v>104.9569687</v>
      </c>
      <c r="J8" s="7">
        <v>63.993883328452483</v>
      </c>
      <c r="K8" s="7">
        <v>5.3342047436978461</v>
      </c>
      <c r="M8" s="1">
        <v>5.8552117751986357</v>
      </c>
      <c r="N8" s="7">
        <v>5.3342047436978461</v>
      </c>
    </row>
    <row r="9" spans="1:14" x14ac:dyDescent="0.25">
      <c r="A9">
        <v>2003</v>
      </c>
      <c r="B9" s="1">
        <v>229.29999999999995</v>
      </c>
      <c r="C9" s="1">
        <f t="shared" si="0"/>
        <v>0.22929999999999995</v>
      </c>
      <c r="D9" s="1">
        <f t="shared" si="1"/>
        <v>0.59129999999999994</v>
      </c>
      <c r="E9" s="2">
        <v>0.95</v>
      </c>
      <c r="F9" s="2">
        <v>0.95</v>
      </c>
      <c r="G9" s="6">
        <v>5.3999999999999999E-2</v>
      </c>
      <c r="H9" s="1">
        <v>89.966553266690724</v>
      </c>
      <c r="I9" s="1">
        <v>102.7281064</v>
      </c>
      <c r="J9" s="7">
        <v>64.229327053080354</v>
      </c>
      <c r="K9" s="7">
        <v>5.1669513890584113</v>
      </c>
      <c r="M9" s="1">
        <v>5.7431914433154425</v>
      </c>
      <c r="N9" s="7">
        <v>5.1669513890584113</v>
      </c>
    </row>
    <row r="10" spans="1:14" x14ac:dyDescent="0.25">
      <c r="A10">
        <v>2004</v>
      </c>
      <c r="B10" s="1">
        <v>701.7</v>
      </c>
      <c r="C10" s="1">
        <f t="shared" si="0"/>
        <v>0.70169999999999999</v>
      </c>
      <c r="D10" s="1">
        <f t="shared" si="1"/>
        <v>1.2929999999999999</v>
      </c>
      <c r="E10" s="2">
        <v>0.95</v>
      </c>
      <c r="F10" s="2">
        <v>0.95</v>
      </c>
      <c r="G10" s="6">
        <v>5.3999999999999999E-2</v>
      </c>
      <c r="H10" s="1">
        <v>88.601432130906574</v>
      </c>
      <c r="I10" s="1">
        <v>100.5465761</v>
      </c>
      <c r="J10" s="7">
        <v>64.648205887406448</v>
      </c>
      <c r="K10" s="7">
        <v>5.0026252971354115</v>
      </c>
      <c r="M10" s="1">
        <v>5.6462126816913614</v>
      </c>
      <c r="N10" s="7">
        <v>5.0026252971354115</v>
      </c>
    </row>
    <row r="11" spans="1:14" x14ac:dyDescent="0.25">
      <c r="A11">
        <v>2005</v>
      </c>
      <c r="B11" s="1">
        <v>976</v>
      </c>
      <c r="C11" s="1">
        <f t="shared" si="0"/>
        <v>0.97599999999999998</v>
      </c>
      <c r="D11" s="1">
        <f t="shared" si="1"/>
        <v>2.2690000000000001</v>
      </c>
      <c r="E11" s="2">
        <v>0.94</v>
      </c>
      <c r="F11" s="2">
        <v>0.94</v>
      </c>
      <c r="G11" s="6">
        <v>5.3999999999999999E-2</v>
      </c>
      <c r="H11" s="1">
        <v>85.981485768250664</v>
      </c>
      <c r="I11" s="1">
        <v>98.411372709999995</v>
      </c>
      <c r="J11" s="7">
        <v>66.040187457829745</v>
      </c>
      <c r="K11" s="7">
        <v>4.1326892741220282</v>
      </c>
      <c r="M11" s="1">
        <v>4.8064873934151713</v>
      </c>
      <c r="N11" s="7">
        <v>4.1326892741220282</v>
      </c>
    </row>
    <row r="12" spans="1:14" x14ac:dyDescent="0.25">
      <c r="A12">
        <v>2006</v>
      </c>
      <c r="B12" s="1">
        <v>945</v>
      </c>
      <c r="C12" s="1">
        <f t="shared" si="0"/>
        <v>0.94499999999999995</v>
      </c>
      <c r="D12" s="1">
        <f t="shared" si="1"/>
        <v>3.214</v>
      </c>
      <c r="E12" s="2">
        <v>0.93</v>
      </c>
      <c r="F12" s="2">
        <v>0.93</v>
      </c>
      <c r="G12" s="6">
        <v>4.3999999999999997E-2</v>
      </c>
      <c r="H12" s="1">
        <v>84.193545779264554</v>
      </c>
      <c r="I12" s="1">
        <v>96.321512409999997</v>
      </c>
      <c r="J12" s="7">
        <v>66.862583295409934</v>
      </c>
      <c r="K12" s="7">
        <v>3.2777169666362567</v>
      </c>
      <c r="M12" s="1">
        <v>3.8930739123752436</v>
      </c>
      <c r="N12" s="7">
        <v>3.2777169666362567</v>
      </c>
    </row>
    <row r="13" spans="1:14" x14ac:dyDescent="0.25">
      <c r="A13">
        <v>2007</v>
      </c>
      <c r="B13" s="1">
        <v>1765</v>
      </c>
      <c r="C13" s="1">
        <f t="shared" si="0"/>
        <v>1.7649999999999999</v>
      </c>
      <c r="D13" s="1">
        <f t="shared" si="1"/>
        <v>4.9790000000000001</v>
      </c>
      <c r="E13" s="2">
        <v>0.89</v>
      </c>
      <c r="F13" s="2">
        <v>0.89</v>
      </c>
      <c r="G13" s="6">
        <v>4.2000000000000003E-2</v>
      </c>
      <c r="H13" s="1">
        <v>83.096907447906261</v>
      </c>
      <c r="I13" s="1">
        <v>94.276032310000005</v>
      </c>
      <c r="J13" s="7">
        <v>67.16730527708512</v>
      </c>
      <c r="K13" s="7">
        <v>3.0872790704854136</v>
      </c>
      <c r="M13" s="1">
        <v>3.715275532270367</v>
      </c>
      <c r="N13" s="7">
        <v>3.0872790704854136</v>
      </c>
    </row>
    <row r="14" spans="1:14" x14ac:dyDescent="0.25">
      <c r="A14">
        <v>2008</v>
      </c>
      <c r="B14" s="1">
        <v>5402.5</v>
      </c>
      <c r="C14" s="1">
        <f t="shared" si="0"/>
        <v>5.4024999999999999</v>
      </c>
      <c r="D14" s="1">
        <f t="shared" si="1"/>
        <v>10.381499999999999</v>
      </c>
      <c r="E14" s="2">
        <v>0.86</v>
      </c>
      <c r="F14" s="2">
        <v>0.86</v>
      </c>
      <c r="G14" s="6">
        <v>0.04</v>
      </c>
      <c r="H14" s="1">
        <v>82.02877060997578</v>
      </c>
      <c r="I14" s="1">
        <v>92.273989950000001</v>
      </c>
      <c r="J14" s="7">
        <v>67.466626834153615</v>
      </c>
      <c r="K14" s="7">
        <v>2.9000614902690049</v>
      </c>
      <c r="M14" s="1">
        <v>3.5354199126767352</v>
      </c>
      <c r="N14" s="7">
        <v>2.9000614902690049</v>
      </c>
    </row>
    <row r="15" spans="1:14" x14ac:dyDescent="0.25">
      <c r="A15">
        <v>2009</v>
      </c>
      <c r="B15" s="1">
        <v>6353.7000000000007</v>
      </c>
      <c r="C15" s="1">
        <f t="shared" si="0"/>
        <v>6.3537000000000008</v>
      </c>
      <c r="D15" s="1">
        <f t="shared" si="1"/>
        <v>16.735199999999999</v>
      </c>
      <c r="E15" s="2">
        <v>0.83</v>
      </c>
      <c r="F15" s="2">
        <v>0.83</v>
      </c>
      <c r="G15" s="6">
        <v>0.04</v>
      </c>
      <c r="H15" s="1">
        <v>81.147459980008009</v>
      </c>
      <c r="I15" s="1">
        <v>90.314462890000001</v>
      </c>
      <c r="J15" s="7">
        <v>67.627561954055423</v>
      </c>
      <c r="K15" s="7">
        <v>2.8757469507811364</v>
      </c>
      <c r="M15" s="1">
        <v>3.5438533152973899</v>
      </c>
      <c r="N15" s="7">
        <v>2.8757469507811364</v>
      </c>
    </row>
    <row r="16" spans="1:14" x14ac:dyDescent="0.25">
      <c r="A16">
        <v>2010</v>
      </c>
      <c r="B16" s="1">
        <v>13188.2</v>
      </c>
      <c r="C16" s="1">
        <f t="shared" si="0"/>
        <v>13.1882</v>
      </c>
      <c r="D16" s="1">
        <f t="shared" si="1"/>
        <v>29.923400000000001</v>
      </c>
      <c r="E16" s="2">
        <v>0.88</v>
      </c>
      <c r="F16" s="2">
        <v>0.88</v>
      </c>
      <c r="G16" s="6">
        <v>0.04</v>
      </c>
      <c r="H16" s="1">
        <v>80.286218198435378</v>
      </c>
      <c r="I16" s="1">
        <v>88.396548280000005</v>
      </c>
      <c r="J16" s="7">
        <v>67.784695715738138</v>
      </c>
      <c r="K16" s="7">
        <v>2.8518367346938782</v>
      </c>
      <c r="M16" s="1">
        <v>3.5520875172439679</v>
      </c>
      <c r="N16" s="7">
        <v>2.8518367346938782</v>
      </c>
    </row>
    <row r="17" spans="1:14" x14ac:dyDescent="0.25">
      <c r="A17">
        <v>2011</v>
      </c>
      <c r="B17" s="1">
        <v>22279.599999999999</v>
      </c>
      <c r="C17" s="1">
        <f t="shared" si="0"/>
        <v>22.279599999999999</v>
      </c>
      <c r="D17" s="1">
        <f t="shared" si="1"/>
        <v>52.203000000000003</v>
      </c>
      <c r="E17" s="2">
        <v>0.86</v>
      </c>
      <c r="F17" s="2">
        <v>0.86</v>
      </c>
      <c r="G17" s="6">
        <v>0.04</v>
      </c>
      <c r="H17" s="1">
        <v>78.009681965629127</v>
      </c>
      <c r="I17" s="1">
        <v>86.519362419999993</v>
      </c>
      <c r="J17" s="7">
        <v>67.914816616832312</v>
      </c>
      <c r="K17" s="7">
        <v>2.7762913907284767</v>
      </c>
      <c r="M17" s="1">
        <v>3.5589061777635553</v>
      </c>
      <c r="N17" s="7">
        <v>2.7762913907284767</v>
      </c>
    </row>
    <row r="18" spans="1:14" x14ac:dyDescent="0.25">
      <c r="A18">
        <v>2012</v>
      </c>
      <c r="B18" s="1">
        <v>17032</v>
      </c>
      <c r="C18" s="1">
        <f t="shared" si="0"/>
        <v>17.032</v>
      </c>
      <c r="D18" s="1">
        <f t="shared" si="1"/>
        <v>69.234999999999999</v>
      </c>
      <c r="E18" s="2">
        <v>0.91</v>
      </c>
      <c r="F18" s="2">
        <v>0.91</v>
      </c>
      <c r="G18" s="6">
        <v>3.9E-2</v>
      </c>
      <c r="H18" s="1">
        <v>76.972730360058435</v>
      </c>
      <c r="I18" s="1">
        <v>84.682040420000007</v>
      </c>
      <c r="J18" s="7">
        <v>68.163792842092235</v>
      </c>
      <c r="K18" s="7">
        <v>2.7222077922077923</v>
      </c>
      <c r="M18" s="1">
        <v>3.53658728159182</v>
      </c>
      <c r="N18" s="7">
        <v>2.7222077922077923</v>
      </c>
    </row>
    <row r="19" spans="1:14" x14ac:dyDescent="0.25">
      <c r="A19">
        <v>2013</v>
      </c>
      <c r="B19" s="1">
        <v>8214</v>
      </c>
      <c r="C19" s="1">
        <f t="shared" si="0"/>
        <v>8.2140000000000004</v>
      </c>
      <c r="D19" s="1">
        <f t="shared" si="1"/>
        <v>77.448999999999998</v>
      </c>
      <c r="E19" s="2">
        <v>0.91</v>
      </c>
      <c r="F19" s="2">
        <v>0.91</v>
      </c>
      <c r="G19" s="6">
        <v>3.9E-2</v>
      </c>
      <c r="H19" s="1">
        <v>72.423793263837496</v>
      </c>
      <c r="I19" s="1">
        <v>82.883735720000004</v>
      </c>
      <c r="J19" s="7">
        <v>70.418846765190381</v>
      </c>
      <c r="K19" s="7">
        <v>2.6201250000000003</v>
      </c>
      <c r="M19" s="1">
        <v>3.6177682525616559</v>
      </c>
      <c r="N19" s="7">
        <v>2.6201250000000003</v>
      </c>
    </row>
    <row r="20" spans="1:14" x14ac:dyDescent="0.25">
      <c r="A20">
        <v>2014</v>
      </c>
      <c r="B20" s="1">
        <v>3897</v>
      </c>
      <c r="C20" s="1">
        <f t="shared" si="0"/>
        <v>3.8969999999999998</v>
      </c>
      <c r="D20" s="1">
        <f t="shared" si="1"/>
        <v>81.346000000000004</v>
      </c>
      <c r="E20" s="2">
        <v>0.92</v>
      </c>
      <c r="F20" s="2">
        <v>0.92</v>
      </c>
      <c r="G20" s="6">
        <v>0.04</v>
      </c>
      <c r="H20" s="1">
        <v>71.751335008233141</v>
      </c>
      <c r="I20" s="1">
        <v>81.123619750000003</v>
      </c>
      <c r="J20" s="7">
        <v>70.905245340538485</v>
      </c>
      <c r="K20" s="7">
        <v>2.5719018404907978</v>
      </c>
      <c r="M20" s="1">
        <v>3.5844654879183557</v>
      </c>
      <c r="N20" s="7">
        <v>2.5719018404907978</v>
      </c>
    </row>
    <row r="21" spans="1:14" x14ac:dyDescent="0.25">
      <c r="A21">
        <v>2015</v>
      </c>
      <c r="B21" s="1">
        <v>4018</v>
      </c>
      <c r="C21" s="1">
        <f t="shared" si="0"/>
        <v>4.0179999999999998</v>
      </c>
      <c r="D21" s="1">
        <f t="shared" si="1"/>
        <v>85.364000000000004</v>
      </c>
      <c r="E21" s="2">
        <v>0.94</v>
      </c>
      <c r="F21" s="2">
        <v>0.94</v>
      </c>
      <c r="G21" s="6">
        <v>0.04</v>
      </c>
      <c r="H21" s="1">
        <v>67.83948903880588</v>
      </c>
      <c r="I21" s="1">
        <v>79.40088154</v>
      </c>
      <c r="J21" s="7">
        <v>71.324608551107843</v>
      </c>
      <c r="K21" s="7">
        <v>2.4660000000000002</v>
      </c>
      <c r="M21" s="1">
        <v>3.6350509635905226</v>
      </c>
      <c r="N21" s="7">
        <v>2.4660000000000002</v>
      </c>
    </row>
    <row r="22" spans="1:14" x14ac:dyDescent="0.25">
      <c r="A22">
        <v>2016</v>
      </c>
      <c r="B22" s="1">
        <v>3820</v>
      </c>
      <c r="C22" s="1">
        <f t="shared" si="0"/>
        <v>3.82</v>
      </c>
      <c r="D22" s="1">
        <f t="shared" si="1"/>
        <v>89.183999999999997</v>
      </c>
      <c r="E22" s="2">
        <v>0.94</v>
      </c>
      <c r="F22" s="2">
        <v>0.94</v>
      </c>
      <c r="G22" s="6">
        <v>0.04</v>
      </c>
      <c r="H22" s="1">
        <v>65.06139367433714</v>
      </c>
      <c r="I22" s="1">
        <v>77.714727339999996</v>
      </c>
      <c r="J22" s="7">
        <v>71.658800484785772</v>
      </c>
      <c r="K22" s="7">
        <v>2.3955428571428574</v>
      </c>
      <c r="M22" s="1">
        <v>3.6819728595635004</v>
      </c>
      <c r="N22" s="7">
        <v>2.3955428571428574</v>
      </c>
    </row>
    <row r="23" spans="1:14" x14ac:dyDescent="0.25">
      <c r="A23">
        <v>2017</v>
      </c>
      <c r="B23" s="1">
        <v>5300</v>
      </c>
      <c r="C23" s="1">
        <f t="shared" si="0"/>
        <v>5.3</v>
      </c>
      <c r="D23" s="1">
        <f t="shared" si="1"/>
        <v>94.483999999999995</v>
      </c>
      <c r="E23" s="2">
        <v>0.96</v>
      </c>
      <c r="F23" s="2">
        <v>0.96</v>
      </c>
      <c r="G23" s="6">
        <v>4.1000000000000002E-2</v>
      </c>
      <c r="H23" s="1">
        <v>64.859117775711852</v>
      </c>
      <c r="I23" s="1">
        <v>76.064380240000006</v>
      </c>
      <c r="J23" s="7">
        <v>72.209964256174828</v>
      </c>
      <c r="K23" s="7">
        <v>2.3684745762711867</v>
      </c>
      <c r="M23" s="1">
        <v>3.6517218511382872</v>
      </c>
      <c r="N23" s="7">
        <v>2.3684745762711867</v>
      </c>
    </row>
    <row r="24" spans="1:14" x14ac:dyDescent="0.25">
      <c r="A24">
        <v>2018</v>
      </c>
      <c r="B24" s="1">
        <v>8300</v>
      </c>
      <c r="C24" s="1">
        <f t="shared" si="0"/>
        <v>8.3000000000000007</v>
      </c>
      <c r="D24" s="1">
        <f t="shared" si="1"/>
        <v>102.78399999999999</v>
      </c>
      <c r="E24" s="2">
        <v>0.96</v>
      </c>
      <c r="F24" s="2">
        <v>0.96</v>
      </c>
      <c r="G24" s="6">
        <v>0.04</v>
      </c>
      <c r="H24" s="1">
        <v>62.583664288711944</v>
      </c>
      <c r="I24" s="1">
        <v>74.449079859999998</v>
      </c>
      <c r="J24" s="7">
        <v>72.512932113796495</v>
      </c>
      <c r="K24" s="7">
        <v>2.232907653804348</v>
      </c>
      <c r="M24" s="1">
        <v>3.5678761849153848</v>
      </c>
      <c r="N24" s="7">
        <v>2.232907653804348</v>
      </c>
    </row>
    <row r="25" spans="1:14" x14ac:dyDescent="0.25">
      <c r="A25">
        <v>2019</v>
      </c>
      <c r="B25" s="1">
        <v>17200</v>
      </c>
      <c r="C25" s="1">
        <f t="shared" si="0"/>
        <v>17.2</v>
      </c>
      <c r="D25" s="1">
        <f t="shared" si="1"/>
        <v>119.98399999999999</v>
      </c>
      <c r="E25" s="2">
        <v>0.95</v>
      </c>
      <c r="F25" s="2">
        <v>0.95</v>
      </c>
      <c r="G25" s="6">
        <v>3.9E-2</v>
      </c>
      <c r="H25" s="1">
        <v>61.192740393281241</v>
      </c>
      <c r="I25" s="1">
        <v>72.868081930000002</v>
      </c>
      <c r="J25" s="7">
        <v>73.26151579181267</v>
      </c>
      <c r="K25" s="7">
        <v>2.0944826390625</v>
      </c>
      <c r="M25" s="1">
        <v>3.4227632650563029</v>
      </c>
      <c r="N25" s="7">
        <v>2.0944826390625</v>
      </c>
    </row>
    <row r="26" spans="1:14" x14ac:dyDescent="0.25">
      <c r="A26">
        <v>2020</v>
      </c>
      <c r="B26" s="1">
        <v>20700</v>
      </c>
      <c r="C26" s="1">
        <f t="shared" si="0"/>
        <v>20.7</v>
      </c>
      <c r="D26" s="1">
        <f t="shared" si="1"/>
        <v>140.684</v>
      </c>
      <c r="E26" s="2">
        <v>0.95</v>
      </c>
      <c r="F26" s="2">
        <v>0.95</v>
      </c>
      <c r="G26" s="6">
        <v>3.5000000000000003E-2</v>
      </c>
      <c r="H26" s="1">
        <v>59.708250595798276</v>
      </c>
      <c r="I26" s="1">
        <v>71.320658019999996</v>
      </c>
      <c r="J26" s="7">
        <v>74.223899297500125</v>
      </c>
      <c r="K26" s="7">
        <v>1.8765699183966387</v>
      </c>
      <c r="M26" s="1">
        <v>3.1428988450864019</v>
      </c>
      <c r="N26" s="7">
        <v>1.8765699183966387</v>
      </c>
    </row>
    <row r="27" spans="1:14" x14ac:dyDescent="0.25">
      <c r="A27">
        <v>2021</v>
      </c>
      <c r="B27" s="1">
        <v>28500</v>
      </c>
      <c r="C27" s="1">
        <f t="shared" si="0"/>
        <v>28.5</v>
      </c>
      <c r="D27" s="1">
        <f t="shared" si="1"/>
        <v>169.184</v>
      </c>
      <c r="E27" s="2">
        <v>0.95</v>
      </c>
      <c r="F27" s="2">
        <v>0.95</v>
      </c>
      <c r="G27" s="6">
        <v>3.4000000000000002E-2</v>
      </c>
      <c r="H27" s="1">
        <v>57.656813225558658</v>
      </c>
      <c r="I27" s="1">
        <v>69.806095139999996</v>
      </c>
      <c r="J27" s="7">
        <v>74.9295703657655</v>
      </c>
      <c r="K27" s="7">
        <v>1.7808524957198626</v>
      </c>
      <c r="M27" s="1">
        <v>3.0494794679202579</v>
      </c>
      <c r="N27" s="7">
        <v>1.7582326811705431</v>
      </c>
    </row>
    <row r="28" spans="1:14" x14ac:dyDescent="0.25">
      <c r="A28">
        <v>2022</v>
      </c>
      <c r="B28" s="1">
        <v>42300</v>
      </c>
      <c r="C28" s="1">
        <f t="shared" si="0"/>
        <v>42.3</v>
      </c>
      <c r="D28" s="1">
        <f t="shared" si="1"/>
        <v>211.48399999999998</v>
      </c>
      <c r="E28" s="2">
        <v>0.95</v>
      </c>
      <c r="F28" s="2">
        <v>0.95</v>
      </c>
      <c r="G28" s="6">
        <v>3.4000000000000002E-2</v>
      </c>
      <c r="H28" s="1">
        <v>56.512013230160413</v>
      </c>
      <c r="I28" s="1">
        <v>68.323695470000004</v>
      </c>
      <c r="J28" s="7">
        <v>75.431173564903631</v>
      </c>
      <c r="K28" s="7">
        <v>1.5425366662129036</v>
      </c>
      <c r="M28" s="1">
        <v>2.9381148248321756</v>
      </c>
      <c r="N28" s="7">
        <v>1.6603878385264634</v>
      </c>
    </row>
    <row r="29" spans="1:14" x14ac:dyDescent="0.25">
      <c r="A29">
        <v>2023</v>
      </c>
      <c r="B29" s="1">
        <v>63800</v>
      </c>
      <c r="C29" s="1">
        <f t="shared" si="0"/>
        <v>63.8</v>
      </c>
      <c r="D29" s="1">
        <f t="shared" si="1"/>
        <v>275.28399999999999</v>
      </c>
      <c r="E29" s="2">
        <v>0.97</v>
      </c>
      <c r="F29" s="2">
        <v>0.97</v>
      </c>
      <c r="G29" s="6">
        <v>3.3000000000000002E-2</v>
      </c>
      <c r="H29" s="1">
        <v>55.683974515200646</v>
      </c>
      <c r="I29" s="1">
        <v>66.87277598</v>
      </c>
      <c r="J29" s="7">
        <v>75.885438795728334</v>
      </c>
      <c r="K29" s="7">
        <v>1.4307372038329522</v>
      </c>
      <c r="M29" s="1">
        <v>2.879689707480201</v>
      </c>
      <c r="N29" s="7">
        <v>1.6035256828301312</v>
      </c>
    </row>
    <row r="30" spans="1:14" x14ac:dyDescent="0.25">
      <c r="A30">
        <v>2024</v>
      </c>
      <c r="B30" s="1">
        <v>65600</v>
      </c>
      <c r="C30" s="1">
        <f t="shared" si="0"/>
        <v>65.599999999999994</v>
      </c>
      <c r="D30" s="1">
        <f t="shared" si="1"/>
        <v>340.88400000000001</v>
      </c>
      <c r="E30" s="2">
        <v>0.98</v>
      </c>
      <c r="F30" s="2">
        <v>0.98</v>
      </c>
      <c r="G30" s="6">
        <v>3.2000000000000001E-2</v>
      </c>
      <c r="H30" s="1">
        <v>54.303214578596659</v>
      </c>
      <c r="I30" s="1">
        <v>65.452668169999995</v>
      </c>
      <c r="J30" s="7">
        <v>76.105833075215784</v>
      </c>
      <c r="K30" s="7">
        <v>1.3376298853678077</v>
      </c>
      <c r="M30" s="1">
        <v>2.8598543700377621</v>
      </c>
      <c r="N30" s="7">
        <v>1.5529928551969796</v>
      </c>
    </row>
    <row r="31" spans="1:14" x14ac:dyDescent="0.25">
      <c r="A31">
        <v>2025</v>
      </c>
      <c r="B31" s="1">
        <v>65100</v>
      </c>
      <c r="C31" s="1">
        <f t="shared" si="0"/>
        <v>65.099999999999994</v>
      </c>
      <c r="D31" s="1">
        <f t="shared" si="1"/>
        <v>405.98400000000004</v>
      </c>
      <c r="E31" s="2">
        <v>0.98</v>
      </c>
      <c r="F31" s="2">
        <v>0.98</v>
      </c>
      <c r="G31" s="6">
        <v>3.1E-2</v>
      </c>
      <c r="H31" s="1">
        <v>53.065446717913204</v>
      </c>
      <c r="I31" s="1">
        <v>64.062717710000001</v>
      </c>
      <c r="J31" s="7">
        <v>76.330708089414642</v>
      </c>
      <c r="K31" s="7">
        <v>1.2178917746440501</v>
      </c>
      <c r="M31" s="1">
        <v>2.8390188748053902</v>
      </c>
      <c r="N31" s="7">
        <v>1.5065380483213533</v>
      </c>
    </row>
    <row r="32" spans="1:14" x14ac:dyDescent="0.25">
      <c r="A32">
        <v>2026</v>
      </c>
      <c r="B32" s="3">
        <v>0</v>
      </c>
      <c r="C32" s="1">
        <f t="shared" si="0"/>
        <v>0</v>
      </c>
      <c r="D32" s="1">
        <f t="shared" si="1"/>
        <v>405.98400000000004</v>
      </c>
      <c r="E32" s="2">
        <v>0.98</v>
      </c>
      <c r="F32" s="2">
        <v>0.98</v>
      </c>
      <c r="G32" s="6">
        <v>0.03</v>
      </c>
      <c r="H32" s="1">
        <v>53.071119164179251</v>
      </c>
      <c r="I32" s="1">
        <v>62.70228419</v>
      </c>
      <c r="J32" s="7">
        <v>76.9726109259461</v>
      </c>
      <c r="K32" s="7">
        <v>1.1777242380923438</v>
      </c>
      <c r="M32" s="1">
        <v>2.7572146945268865</v>
      </c>
      <c r="N32" s="7">
        <v>1.4632846961446249</v>
      </c>
    </row>
    <row r="33" spans="1:14" x14ac:dyDescent="0.25">
      <c r="A33">
        <v>2027</v>
      </c>
      <c r="B33" s="3">
        <v>0</v>
      </c>
      <c r="C33" s="1">
        <f t="shared" si="0"/>
        <v>0</v>
      </c>
      <c r="D33" s="1">
        <f t="shared" si="1"/>
        <v>405.98400000000004</v>
      </c>
      <c r="E33" s="2">
        <v>0.98</v>
      </c>
      <c r="F33" s="2">
        <v>0.98</v>
      </c>
      <c r="G33" s="6">
        <v>2.9000000000000001E-2</v>
      </c>
      <c r="H33" s="1">
        <v>53.125467021151898</v>
      </c>
      <c r="I33" s="1">
        <v>61.370740789999999</v>
      </c>
      <c r="J33" s="7">
        <v>77.595781067305666</v>
      </c>
      <c r="K33" s="7">
        <v>1.1356218873780461</v>
      </c>
      <c r="M33" s="1">
        <v>2.6775905638852597</v>
      </c>
      <c r="N33" s="7">
        <v>1.422482491978339</v>
      </c>
    </row>
    <row r="34" spans="1:14" x14ac:dyDescent="0.25">
      <c r="A34">
        <v>2028</v>
      </c>
      <c r="B34" s="3">
        <v>0</v>
      </c>
      <c r="C34" s="1">
        <f t="shared" si="0"/>
        <v>0</v>
      </c>
      <c r="D34" s="1">
        <f t="shared" si="1"/>
        <v>405.98400000000004</v>
      </c>
      <c r="E34" s="2">
        <v>0.98</v>
      </c>
      <c r="F34" s="2">
        <v>0.98</v>
      </c>
      <c r="G34" s="6">
        <v>2.8000000000000001E-2</v>
      </c>
      <c r="H34" s="1">
        <v>53.229372262171573</v>
      </c>
      <c r="I34" s="1">
        <v>60.067473990000003</v>
      </c>
      <c r="J34" s="7">
        <v>78.180638976555244</v>
      </c>
      <c r="K34" s="7">
        <v>1.0811756821072633</v>
      </c>
      <c r="M34" s="1">
        <v>2.6257367057996426</v>
      </c>
      <c r="N34" s="7">
        <v>1.3976631657545726</v>
      </c>
    </row>
    <row r="35" spans="1:14" x14ac:dyDescent="0.25">
      <c r="A35">
        <v>2029</v>
      </c>
      <c r="B35" s="3">
        <v>0</v>
      </c>
      <c r="C35" s="1">
        <f t="shared" si="0"/>
        <v>0</v>
      </c>
      <c r="D35" s="1">
        <f t="shared" si="1"/>
        <v>405.98400000000004</v>
      </c>
      <c r="E35" s="2">
        <v>0.98</v>
      </c>
      <c r="F35" s="2">
        <v>0.98</v>
      </c>
      <c r="G35" s="6">
        <v>2.8000000000000001E-2</v>
      </c>
      <c r="H35" s="1">
        <v>53.630928714887673</v>
      </c>
      <c r="I35" s="1">
        <v>58.791883319999997</v>
      </c>
      <c r="J35" s="7">
        <v>78.608268880109733</v>
      </c>
      <c r="K35" s="7">
        <v>1.0287180064088255</v>
      </c>
      <c r="M35" s="1">
        <v>2.5623556103152434</v>
      </c>
      <c r="N35" s="7">
        <v>1.3742151107900931</v>
      </c>
    </row>
    <row r="36" spans="1:14" x14ac:dyDescent="0.25">
      <c r="A36">
        <v>2030</v>
      </c>
      <c r="B36" s="3">
        <v>0</v>
      </c>
      <c r="C36" s="1">
        <f t="shared" si="0"/>
        <v>0</v>
      </c>
      <c r="D36" s="1">
        <f t="shared" si="1"/>
        <v>405.98400000000004</v>
      </c>
      <c r="E36" s="2">
        <v>0.98</v>
      </c>
      <c r="F36" s="2">
        <v>0.98</v>
      </c>
      <c r="G36" s="6">
        <v>2.7E-2</v>
      </c>
      <c r="H36" s="1">
        <v>54.048264765492526</v>
      </c>
      <c r="I36" s="1">
        <v>57.54338104</v>
      </c>
      <c r="J36" s="7">
        <v>79.019573807409259</v>
      </c>
      <c r="K36" s="7">
        <v>0.95280566091373298</v>
      </c>
      <c r="M36" s="1">
        <v>2.5012807301811204</v>
      </c>
      <c r="N36" s="7">
        <v>1.3518988315765366</v>
      </c>
    </row>
    <row r="37" spans="1:14" x14ac:dyDescent="0.25">
      <c r="A37">
        <v>2031</v>
      </c>
      <c r="B37" s="3">
        <v>0</v>
      </c>
      <c r="C37" s="1">
        <f t="shared" si="0"/>
        <v>0</v>
      </c>
      <c r="D37" s="1">
        <f t="shared" si="1"/>
        <v>405.98400000000004</v>
      </c>
      <c r="E37" s="2">
        <v>0.98</v>
      </c>
      <c r="F37" s="2">
        <f>F36-((0.98-0.7)/20)</f>
        <v>0.96599999999999997</v>
      </c>
      <c r="G37" s="6">
        <v>2.7E-2</v>
      </c>
      <c r="H37" s="1">
        <v>54.491707614608238</v>
      </c>
      <c r="I37" s="1">
        <v>56.321391920000003</v>
      </c>
      <c r="J37" s="7">
        <v>79.393880511964468</v>
      </c>
      <c r="K37" s="8">
        <v>0</v>
      </c>
      <c r="M37" s="1">
        <v>2.4656821601966037</v>
      </c>
      <c r="N37" s="7">
        <v>1.3435923134398897</v>
      </c>
    </row>
    <row r="38" spans="1:14" x14ac:dyDescent="0.25">
      <c r="A38">
        <v>2032</v>
      </c>
      <c r="B38" s="3">
        <v>0</v>
      </c>
      <c r="C38" s="1">
        <f t="shared" si="0"/>
        <v>0</v>
      </c>
      <c r="D38" s="1">
        <f t="shared" si="1"/>
        <v>405.98400000000004</v>
      </c>
      <c r="E38" s="2">
        <v>0.98</v>
      </c>
      <c r="F38" s="2">
        <f t="shared" ref="F38:F56" si="2">F37-((0.98-0.7)/20)</f>
        <v>0.95199999999999996</v>
      </c>
      <c r="G38" s="6">
        <v>2.7E-2</v>
      </c>
      <c r="H38" s="1">
        <v>54.181646322913124</v>
      </c>
      <c r="I38" s="1">
        <v>55.125352909999997</v>
      </c>
      <c r="J38" s="7">
        <v>79.393880511964468</v>
      </c>
      <c r="K38" s="8">
        <v>0</v>
      </c>
      <c r="M38" s="1">
        <v>2.4656821601966037</v>
      </c>
      <c r="N38" s="7">
        <v>1.3359471874848881</v>
      </c>
    </row>
    <row r="39" spans="1:14" x14ac:dyDescent="0.25">
      <c r="A39">
        <v>2033</v>
      </c>
      <c r="B39" s="3">
        <v>0</v>
      </c>
      <c r="C39" s="1">
        <f t="shared" si="0"/>
        <v>0</v>
      </c>
      <c r="D39" s="1">
        <f t="shared" si="1"/>
        <v>405.98400000000004</v>
      </c>
      <c r="E39" s="2">
        <v>0.98</v>
      </c>
      <c r="F39" s="2">
        <f t="shared" si="2"/>
        <v>0.93799999999999994</v>
      </c>
      <c r="G39" s="6">
        <v>2.7E-2</v>
      </c>
      <c r="H39" s="1">
        <v>53.894572188397859</v>
      </c>
      <c r="I39" s="1">
        <v>53.95471294</v>
      </c>
      <c r="J39" s="7">
        <v>79.393880511964468</v>
      </c>
      <c r="K39" s="8">
        <v>0</v>
      </c>
      <c r="M39" s="1">
        <v>2.4656821601966037</v>
      </c>
      <c r="N39" s="7">
        <v>1.3288688517636065</v>
      </c>
    </row>
    <row r="40" spans="1:14" x14ac:dyDescent="0.25">
      <c r="A40">
        <v>2034</v>
      </c>
      <c r="B40" s="3">
        <v>0</v>
      </c>
      <c r="C40" s="1">
        <f t="shared" si="0"/>
        <v>0</v>
      </c>
      <c r="D40" s="1">
        <f t="shared" si="1"/>
        <v>405.98400000000004</v>
      </c>
      <c r="E40" s="2">
        <v>0.98</v>
      </c>
      <c r="F40" s="2">
        <f t="shared" si="2"/>
        <v>0.92399999999999993</v>
      </c>
      <c r="G40" s="6">
        <v>2.7E-2</v>
      </c>
      <c r="H40" s="1">
        <v>53.627409318732546</v>
      </c>
      <c r="I40" s="1">
        <v>52.808932630000001</v>
      </c>
      <c r="J40" s="7">
        <v>79.393880511964468</v>
      </c>
      <c r="K40" s="8">
        <v>0</v>
      </c>
      <c r="M40" s="1">
        <v>2.4656821601966037</v>
      </c>
      <c r="N40" s="7">
        <v>1.3222814645475995</v>
      </c>
    </row>
    <row r="41" spans="1:14" x14ac:dyDescent="0.25">
      <c r="A41">
        <v>2035</v>
      </c>
      <c r="B41" s="3">
        <v>0</v>
      </c>
      <c r="C41" s="1">
        <f t="shared" si="0"/>
        <v>0</v>
      </c>
      <c r="D41" s="1">
        <f t="shared" si="1"/>
        <v>405.98400000000004</v>
      </c>
      <c r="E41" s="2">
        <v>0.98</v>
      </c>
      <c r="F41" s="2">
        <f t="shared" si="2"/>
        <v>0.90999999999999992</v>
      </c>
      <c r="G41" s="6">
        <v>2.7E-2</v>
      </c>
      <c r="H41" s="1">
        <v>53.377654814062275</v>
      </c>
      <c r="I41" s="1">
        <v>51.687484079999997</v>
      </c>
      <c r="J41" s="7">
        <v>79.393880511964468</v>
      </c>
      <c r="K41" s="8">
        <v>0</v>
      </c>
      <c r="M41" s="1">
        <v>2.4656821601966037</v>
      </c>
      <c r="N41" s="7">
        <v>1.3161233122816571</v>
      </c>
    </row>
    <row r="42" spans="1:14" x14ac:dyDescent="0.25">
      <c r="A42">
        <v>2036</v>
      </c>
      <c r="B42" s="3">
        <v>0</v>
      </c>
      <c r="C42" s="1">
        <f t="shared" si="0"/>
        <v>0</v>
      </c>
      <c r="D42" s="1">
        <f t="shared" si="1"/>
        <v>405.98400000000004</v>
      </c>
      <c r="E42" s="2">
        <v>0.98</v>
      </c>
      <c r="F42" s="2">
        <f t="shared" si="2"/>
        <v>0.89599999999999991</v>
      </c>
      <c r="G42" s="6">
        <v>2.7E-2</v>
      </c>
      <c r="H42" s="1">
        <v>53.14324541684455</v>
      </c>
      <c r="I42" s="1">
        <v>50.589850570000003</v>
      </c>
      <c r="J42" s="7">
        <v>79.393880511964468</v>
      </c>
      <c r="K42" s="8">
        <v>0</v>
      </c>
      <c r="M42" s="1">
        <v>2.4656821601966037</v>
      </c>
      <c r="N42" s="7">
        <v>1.3103435215926353</v>
      </c>
    </row>
    <row r="43" spans="1:14" x14ac:dyDescent="0.25">
      <c r="A43">
        <v>2037</v>
      </c>
      <c r="B43" s="3">
        <v>0</v>
      </c>
      <c r="C43" s="1">
        <f t="shared" si="0"/>
        <v>0</v>
      </c>
      <c r="D43" s="1">
        <f t="shared" si="1"/>
        <v>405.98400000000004</v>
      </c>
      <c r="E43" s="2">
        <v>0.98</v>
      </c>
      <c r="F43" s="2">
        <f t="shared" si="2"/>
        <v>0.8819999999999999</v>
      </c>
      <c r="G43" s="6">
        <v>2.7E-2</v>
      </c>
      <c r="H43" s="1">
        <v>52.922460632690274</v>
      </c>
      <c r="I43" s="1">
        <v>49.515526360000003</v>
      </c>
      <c r="J43" s="7">
        <v>79.393880511964468</v>
      </c>
      <c r="K43" s="8">
        <v>0</v>
      </c>
      <c r="M43" s="1">
        <v>2.4656821601966037</v>
      </c>
      <c r="N43" s="7">
        <v>1.3048996705573148</v>
      </c>
    </row>
    <row r="44" spans="1:14" x14ac:dyDescent="0.25">
      <c r="A44">
        <v>2038</v>
      </c>
      <c r="B44" s="3">
        <v>0</v>
      </c>
      <c r="C44" s="1">
        <f t="shared" si="0"/>
        <v>0</v>
      </c>
      <c r="D44" s="1">
        <f t="shared" si="1"/>
        <v>405.98400000000004</v>
      </c>
      <c r="E44" s="2">
        <v>0.98</v>
      </c>
      <c r="F44" s="2">
        <f t="shared" si="2"/>
        <v>0.86799999999999988</v>
      </c>
      <c r="G44" s="6">
        <v>2.7E-2</v>
      </c>
      <c r="H44" s="1">
        <v>52.71385117152272</v>
      </c>
      <c r="I44" s="1">
        <v>48.464016460000003</v>
      </c>
      <c r="J44" s="7">
        <v>79.393880511964468</v>
      </c>
      <c r="K44" s="8">
        <v>0</v>
      </c>
      <c r="M44" s="1">
        <v>2.4656821601966037</v>
      </c>
      <c r="N44" s="7">
        <v>1.2997560242888242</v>
      </c>
    </row>
    <row r="45" spans="1:14" x14ac:dyDescent="0.25">
      <c r="A45">
        <v>2039</v>
      </c>
      <c r="B45" s="3">
        <v>0</v>
      </c>
      <c r="C45" s="1">
        <f t="shared" si="0"/>
        <v>0</v>
      </c>
      <c r="D45" s="1">
        <f t="shared" si="1"/>
        <v>405.98400000000004</v>
      </c>
      <c r="E45" s="2">
        <v>0.98</v>
      </c>
      <c r="F45" s="2">
        <f t="shared" si="2"/>
        <v>0.85399999999999987</v>
      </c>
      <c r="G45" s="6">
        <v>2.7E-2</v>
      </c>
      <c r="H45" s="1">
        <v>52.516185073138622</v>
      </c>
      <c r="I45" s="1">
        <v>47.43483638</v>
      </c>
      <c r="J45" s="7">
        <v>79.393880511964468</v>
      </c>
      <c r="K45" s="8">
        <v>0</v>
      </c>
      <c r="M45" s="1">
        <v>2.4656821601966037</v>
      </c>
      <c r="N45" s="7">
        <v>1.2948822065642107</v>
      </c>
    </row>
    <row r="46" spans="1:14" x14ac:dyDescent="0.25">
      <c r="A46">
        <v>2040</v>
      </c>
      <c r="B46" s="3">
        <v>0</v>
      </c>
      <c r="C46" s="1">
        <f t="shared" si="0"/>
        <v>0</v>
      </c>
      <c r="D46" s="1">
        <f t="shared" si="1"/>
        <v>405.98400000000004</v>
      </c>
      <c r="E46" s="2">
        <v>0.98</v>
      </c>
      <c r="F46" s="2">
        <f t="shared" si="2"/>
        <v>0.83999999999999986</v>
      </c>
      <c r="G46" s="6">
        <v>2.7E-2</v>
      </c>
      <c r="H46" s="1">
        <v>52.32840643171059</v>
      </c>
      <c r="I46" s="1">
        <v>46.427511940000002</v>
      </c>
      <c r="J46" s="7">
        <v>79.393880511964468</v>
      </c>
      <c r="K46" s="8">
        <v>0</v>
      </c>
      <c r="M46" s="1">
        <v>2.4656821601966037</v>
      </c>
      <c r="N46" s="7">
        <v>1.2902521821018602</v>
      </c>
    </row>
    <row r="47" spans="1:14" x14ac:dyDescent="0.25">
      <c r="A47">
        <v>2041</v>
      </c>
      <c r="B47" s="3">
        <v>0</v>
      </c>
      <c r="C47" s="1">
        <f t="shared" si="0"/>
        <v>0</v>
      </c>
      <c r="D47" s="1">
        <f t="shared" si="1"/>
        <v>405.98400000000004</v>
      </c>
      <c r="E47" s="2">
        <v>0.98</v>
      </c>
      <c r="F47" s="2">
        <f t="shared" si="2"/>
        <v>0.82599999999999985</v>
      </c>
      <c r="G47" s="6">
        <v>2.7E-2</v>
      </c>
      <c r="H47" s="1">
        <v>52.149603704379203</v>
      </c>
      <c r="I47" s="1">
        <v>45.441578999999997</v>
      </c>
      <c r="J47" s="7">
        <v>79.393880511964468</v>
      </c>
      <c r="K47" s="8">
        <v>0</v>
      </c>
      <c r="M47" s="1">
        <v>2.4656821601966037</v>
      </c>
      <c r="N47" s="7">
        <v>1.2858434751521053</v>
      </c>
    </row>
    <row r="48" spans="1:14" x14ac:dyDescent="0.25">
      <c r="A48">
        <v>2042</v>
      </c>
      <c r="B48" s="3">
        <v>0</v>
      </c>
      <c r="C48" s="1">
        <f t="shared" si="0"/>
        <v>0</v>
      </c>
      <c r="D48" s="1">
        <f t="shared" si="1"/>
        <v>405.98400000000004</v>
      </c>
      <c r="E48" s="2">
        <v>0.98</v>
      </c>
      <c r="F48" s="2">
        <f t="shared" si="2"/>
        <v>0.81199999999999983</v>
      </c>
      <c r="G48" s="6">
        <v>2.7E-2</v>
      </c>
      <c r="H48" s="1">
        <v>51.978984461294232</v>
      </c>
      <c r="I48" s="1">
        <v>44.476583300000001</v>
      </c>
      <c r="J48" s="7">
        <v>79.393880511964468</v>
      </c>
      <c r="K48" s="8">
        <v>0</v>
      </c>
      <c r="M48" s="1">
        <v>2.4656821601966037</v>
      </c>
      <c r="N48" s="7">
        <v>1.2816365469134967</v>
      </c>
    </row>
    <row r="49" spans="1:14" x14ac:dyDescent="0.25">
      <c r="A49">
        <v>2043</v>
      </c>
      <c r="B49" s="3">
        <v>0</v>
      </c>
      <c r="C49" s="1">
        <f t="shared" si="0"/>
        <v>0</v>
      </c>
      <c r="D49" s="1">
        <f t="shared" si="1"/>
        <v>405.98400000000004</v>
      </c>
      <c r="E49" s="2">
        <v>0.98</v>
      </c>
      <c r="F49" s="2">
        <f t="shared" si="2"/>
        <v>0.79799999999999982</v>
      </c>
      <c r="G49" s="6">
        <v>2.7E-2</v>
      </c>
      <c r="H49" s="1">
        <v>51.815855758326691</v>
      </c>
      <c r="I49" s="1">
        <v>43.532080209999997</v>
      </c>
      <c r="J49" s="7">
        <v>79.393880511964468</v>
      </c>
      <c r="K49" s="8">
        <v>0</v>
      </c>
      <c r="M49" s="1">
        <v>2.4656821601966037</v>
      </c>
      <c r="N49" s="7">
        <v>1.2776143115862659</v>
      </c>
    </row>
    <row r="50" spans="1:14" x14ac:dyDescent="0.25">
      <c r="A50">
        <v>2044</v>
      </c>
      <c r="B50" s="3">
        <v>0</v>
      </c>
      <c r="C50" s="1">
        <f t="shared" si="0"/>
        <v>0</v>
      </c>
      <c r="D50" s="1">
        <f t="shared" si="1"/>
        <v>405.98400000000004</v>
      </c>
      <c r="E50" s="2">
        <v>0.98</v>
      </c>
      <c r="F50" s="2">
        <f t="shared" si="2"/>
        <v>0.78399999999999981</v>
      </c>
      <c r="G50" s="6">
        <v>2.7E-2</v>
      </c>
      <c r="H50" s="1">
        <v>51.659608197521948</v>
      </c>
      <c r="I50" s="1">
        <v>42.60763455</v>
      </c>
      <c r="J50" s="7">
        <v>79.393880511964468</v>
      </c>
      <c r="K50" s="8">
        <v>0</v>
      </c>
      <c r="M50" s="1">
        <v>2.4656821601966037</v>
      </c>
      <c r="N50" s="7">
        <v>1.2737617433537609</v>
      </c>
    </row>
    <row r="51" spans="1:14" x14ac:dyDescent="0.25">
      <c r="A51">
        <v>2045</v>
      </c>
      <c r="B51" s="3">
        <v>0</v>
      </c>
      <c r="C51" s="1">
        <f t="shared" si="0"/>
        <v>0</v>
      </c>
      <c r="D51" s="1">
        <f t="shared" si="1"/>
        <v>405.98400000000004</v>
      </c>
      <c r="E51" s="2">
        <v>0.98</v>
      </c>
      <c r="F51" s="2">
        <f t="shared" si="2"/>
        <v>0.7699999999999998</v>
      </c>
      <c r="G51" s="6">
        <v>2.7E-2</v>
      </c>
      <c r="H51" s="1">
        <v>51.509703013700729</v>
      </c>
      <c r="I51" s="1">
        <v>41.702820389999999</v>
      </c>
      <c r="J51" s="7">
        <v>79.393880511964468</v>
      </c>
      <c r="K51" s="8">
        <v>0</v>
      </c>
      <c r="M51" s="1">
        <v>2.4656821601966037</v>
      </c>
      <c r="N51" s="7">
        <v>1.2700655579790714</v>
      </c>
    </row>
    <row r="52" spans="1:14" x14ac:dyDescent="0.25">
      <c r="A52">
        <v>2046</v>
      </c>
      <c r="B52" s="3">
        <v>0</v>
      </c>
      <c r="C52" s="1">
        <f t="shared" si="0"/>
        <v>0</v>
      </c>
      <c r="D52" s="1">
        <f t="shared" si="1"/>
        <v>405.98400000000004</v>
      </c>
      <c r="E52" s="2">
        <v>0.98</v>
      </c>
      <c r="F52" s="2">
        <f t="shared" si="2"/>
        <v>0.75599999999999978</v>
      </c>
      <c r="G52" s="6">
        <v>2.7E-2</v>
      </c>
      <c r="H52" s="1">
        <v>51.365661718044031</v>
      </c>
      <c r="I52" s="1">
        <v>40.817220829999997</v>
      </c>
      <c r="J52" s="7">
        <v>79.393880511964468</v>
      </c>
      <c r="K52" s="8">
        <v>0</v>
      </c>
      <c r="M52" s="1">
        <v>2.4656821601966037</v>
      </c>
      <c r="N52" s="7">
        <v>1.2665139574487481</v>
      </c>
    </row>
    <row r="53" spans="1:14" x14ac:dyDescent="0.25">
      <c r="A53">
        <v>2047</v>
      </c>
      <c r="B53" s="3">
        <v>0</v>
      </c>
      <c r="C53" s="1">
        <f t="shared" si="0"/>
        <v>0</v>
      </c>
      <c r="D53" s="1">
        <f t="shared" si="1"/>
        <v>405.98400000000004</v>
      </c>
      <c r="E53" s="2">
        <v>0.98</v>
      </c>
      <c r="F53" s="2">
        <f t="shared" si="2"/>
        <v>0.74199999999999977</v>
      </c>
      <c r="G53" s="6">
        <v>2.7E-2</v>
      </c>
      <c r="H53" s="1">
        <v>51.227057425424789</v>
      </c>
      <c r="I53" s="1">
        <v>39.950427830000002</v>
      </c>
      <c r="J53" s="7">
        <v>79.393880511964468</v>
      </c>
      <c r="K53" s="8">
        <v>0</v>
      </c>
      <c r="M53" s="1">
        <v>2.4656821601966037</v>
      </c>
      <c r="N53" s="7">
        <v>1.2630964161323688</v>
      </c>
    </row>
    <row r="54" spans="1:14" x14ac:dyDescent="0.25">
      <c r="A54">
        <v>2048</v>
      </c>
      <c r="B54" s="3">
        <v>0</v>
      </c>
      <c r="C54" s="1">
        <f t="shared" si="0"/>
        <v>0</v>
      </c>
      <c r="D54" s="1">
        <f t="shared" si="1"/>
        <v>405.98400000000004</v>
      </c>
      <c r="E54" s="2">
        <v>0.98</v>
      </c>
      <c r="F54" s="2">
        <f t="shared" si="2"/>
        <v>0.72799999999999976</v>
      </c>
      <c r="G54" s="6">
        <v>2.7E-2</v>
      </c>
      <c r="H54" s="1">
        <v>51.093507705558338</v>
      </c>
      <c r="I54" s="1">
        <v>39.102042009999998</v>
      </c>
      <c r="J54" s="7">
        <v>79.393880511964468</v>
      </c>
      <c r="K54" s="8">
        <v>0</v>
      </c>
      <c r="M54" s="1">
        <v>2.4656821601966037</v>
      </c>
      <c r="N54" s="7">
        <v>1.259803504514629</v>
      </c>
    </row>
    <row r="55" spans="1:14" x14ac:dyDescent="0.25">
      <c r="A55">
        <v>2049</v>
      </c>
      <c r="B55" s="3">
        <v>0</v>
      </c>
      <c r="C55" s="1">
        <f t="shared" si="0"/>
        <v>0</v>
      </c>
      <c r="D55" s="1">
        <f t="shared" si="1"/>
        <v>405.98400000000004</v>
      </c>
      <c r="E55" s="2">
        <v>0.98</v>
      </c>
      <c r="F55" s="2">
        <f t="shared" si="2"/>
        <v>0.71399999999999975</v>
      </c>
      <c r="G55" s="6">
        <v>2.7E-2</v>
      </c>
      <c r="H55" s="1">
        <v>50.964668696620926</v>
      </c>
      <c r="I55" s="1">
        <v>38.271672479999999</v>
      </c>
      <c r="J55" s="7">
        <v>79.393880511964468</v>
      </c>
      <c r="K55" s="8">
        <v>0</v>
      </c>
      <c r="M55" s="1">
        <v>2.4656821601966037</v>
      </c>
      <c r="N55" s="7">
        <v>1.2566267440558851</v>
      </c>
    </row>
    <row r="56" spans="1:14" x14ac:dyDescent="0.25">
      <c r="A56">
        <v>2050</v>
      </c>
      <c r="B56" s="3">
        <v>0</v>
      </c>
      <c r="C56" s="1">
        <f t="shared" si="0"/>
        <v>0</v>
      </c>
      <c r="D56" s="1">
        <f t="shared" si="1"/>
        <v>405.98400000000004</v>
      </c>
      <c r="E56" s="2">
        <v>0.98</v>
      </c>
      <c r="F56" s="2">
        <f t="shared" si="2"/>
        <v>0.69999999999999973</v>
      </c>
      <c r="G56" s="6">
        <v>2.7E-2</v>
      </c>
      <c r="H56" s="1">
        <v>50.840230099698061</v>
      </c>
      <c r="I56" s="1">
        <v>37.458936649999998</v>
      </c>
      <c r="J56" s="7">
        <v>79.393880511964468</v>
      </c>
      <c r="K56" s="8">
        <v>0</v>
      </c>
      <c r="M56" s="1">
        <v>2.4656821601966037</v>
      </c>
      <c r="N56" s="7">
        <v>1.2535584837711591</v>
      </c>
    </row>
    <row r="57" spans="1:14" x14ac:dyDescent="0.25">
      <c r="A57">
        <v>2051</v>
      </c>
      <c r="B57" s="3">
        <v>0</v>
      </c>
      <c r="C57" s="1">
        <f t="shared" si="0"/>
        <v>0</v>
      </c>
      <c r="D57" s="1">
        <f t="shared" si="1"/>
        <v>405.98400000000004</v>
      </c>
      <c r="E57" s="2">
        <v>0</v>
      </c>
      <c r="F57" s="2">
        <v>0</v>
      </c>
      <c r="G57" s="5">
        <v>0.01</v>
      </c>
      <c r="H57" s="1">
        <v>50.840230099698061</v>
      </c>
      <c r="I57" s="1">
        <v>37.458936649999998</v>
      </c>
      <c r="J57" s="7">
        <v>0</v>
      </c>
      <c r="K57" s="8">
        <v>0</v>
      </c>
      <c r="M57" s="1"/>
    </row>
    <row r="58" spans="1:14" x14ac:dyDescent="0.25">
      <c r="A58">
        <v>2052</v>
      </c>
      <c r="B58" s="3">
        <v>0</v>
      </c>
      <c r="C58" s="1">
        <f t="shared" si="0"/>
        <v>0</v>
      </c>
      <c r="D58" s="1">
        <f t="shared" si="1"/>
        <v>405.98400000000004</v>
      </c>
      <c r="E58" s="2">
        <v>0</v>
      </c>
      <c r="F58" s="2">
        <v>0</v>
      </c>
      <c r="G58" s="5">
        <v>0.01</v>
      </c>
      <c r="H58" s="1">
        <v>50.840230099698061</v>
      </c>
      <c r="I58" s="1">
        <v>37.458936649999998</v>
      </c>
      <c r="J58" s="7">
        <v>0</v>
      </c>
      <c r="K58" s="8">
        <v>0</v>
      </c>
      <c r="M58" s="1"/>
    </row>
    <row r="59" spans="1:14" x14ac:dyDescent="0.25">
      <c r="A59">
        <v>2053</v>
      </c>
      <c r="B59" s="3">
        <v>0</v>
      </c>
      <c r="C59" s="1">
        <f t="shared" si="0"/>
        <v>0</v>
      </c>
      <c r="D59" s="1">
        <f t="shared" si="1"/>
        <v>405.98400000000004</v>
      </c>
      <c r="E59" s="2">
        <v>0</v>
      </c>
      <c r="F59" s="2">
        <v>0</v>
      </c>
      <c r="G59" s="5">
        <v>0.01</v>
      </c>
      <c r="H59" s="1">
        <v>50.840230099698061</v>
      </c>
      <c r="I59" s="1">
        <v>37.458936649999998</v>
      </c>
      <c r="J59" s="7">
        <v>0</v>
      </c>
      <c r="K59" s="8">
        <v>0</v>
      </c>
      <c r="M59" s="1"/>
    </row>
    <row r="60" spans="1:14" x14ac:dyDescent="0.25">
      <c r="A60">
        <v>2054</v>
      </c>
      <c r="B60" s="3">
        <v>0</v>
      </c>
      <c r="C60" s="1">
        <f t="shared" si="0"/>
        <v>0</v>
      </c>
      <c r="D60" s="1">
        <f t="shared" si="1"/>
        <v>405.98400000000004</v>
      </c>
      <c r="E60" s="2">
        <v>0</v>
      </c>
      <c r="F60" s="2">
        <v>0</v>
      </c>
      <c r="G60" s="5">
        <v>0.01</v>
      </c>
      <c r="H60" s="1">
        <v>50.840230099698061</v>
      </c>
      <c r="I60" s="1">
        <v>37.458936649999998</v>
      </c>
      <c r="J60" s="7">
        <v>0</v>
      </c>
      <c r="K60" s="8">
        <v>0</v>
      </c>
      <c r="M60" s="1"/>
    </row>
    <row r="61" spans="1:14" x14ac:dyDescent="0.25">
      <c r="A61">
        <v>2055</v>
      </c>
      <c r="B61" s="3">
        <v>0</v>
      </c>
      <c r="C61" s="1">
        <f t="shared" si="0"/>
        <v>0</v>
      </c>
      <c r="D61" s="1">
        <f t="shared" si="1"/>
        <v>405.98400000000004</v>
      </c>
      <c r="E61" s="2">
        <v>0</v>
      </c>
      <c r="F61" s="2">
        <v>0</v>
      </c>
      <c r="G61" s="5">
        <v>0.01</v>
      </c>
      <c r="H61" s="1">
        <v>50.840230099698061</v>
      </c>
      <c r="I61" s="1">
        <v>37.458936649999998</v>
      </c>
      <c r="J61" s="7">
        <v>0</v>
      </c>
      <c r="K61" s="8">
        <v>0</v>
      </c>
      <c r="M61" s="1"/>
    </row>
    <row r="62" spans="1:14" x14ac:dyDescent="0.25">
      <c r="A62">
        <v>2056</v>
      </c>
      <c r="B62" s="3">
        <v>0</v>
      </c>
      <c r="C62" s="1">
        <f t="shared" si="0"/>
        <v>0</v>
      </c>
      <c r="D62" s="1">
        <f t="shared" si="1"/>
        <v>405.98400000000004</v>
      </c>
      <c r="E62" s="2">
        <v>0</v>
      </c>
      <c r="F62" s="2">
        <v>0</v>
      </c>
      <c r="G62" s="5">
        <v>0.01</v>
      </c>
      <c r="H62" s="1">
        <v>50.840230099698061</v>
      </c>
      <c r="I62" s="1">
        <v>37.458936649999998</v>
      </c>
      <c r="J62" s="7">
        <v>0</v>
      </c>
      <c r="K62" s="8">
        <v>0</v>
      </c>
      <c r="M62" s="1"/>
    </row>
    <row r="63" spans="1:14" x14ac:dyDescent="0.25">
      <c r="A63">
        <v>2057</v>
      </c>
      <c r="B63" s="3">
        <v>0</v>
      </c>
      <c r="C63" s="1">
        <f t="shared" si="0"/>
        <v>0</v>
      </c>
      <c r="D63" s="1">
        <f t="shared" si="1"/>
        <v>405.98400000000004</v>
      </c>
      <c r="E63" s="2">
        <v>0</v>
      </c>
      <c r="F63" s="2">
        <v>0</v>
      </c>
      <c r="G63" s="5">
        <v>0.01</v>
      </c>
      <c r="H63" s="1">
        <v>50.840230099698061</v>
      </c>
      <c r="I63" s="1">
        <v>37.458936649999998</v>
      </c>
      <c r="J63" s="7">
        <v>0</v>
      </c>
      <c r="K63" s="8">
        <v>0</v>
      </c>
      <c r="M63" s="1"/>
    </row>
    <row r="64" spans="1:14" x14ac:dyDescent="0.25">
      <c r="A64">
        <v>2058</v>
      </c>
      <c r="B64" s="3">
        <v>0</v>
      </c>
      <c r="C64" s="1">
        <f t="shared" si="0"/>
        <v>0</v>
      </c>
      <c r="D64" s="1">
        <f t="shared" si="1"/>
        <v>405.98400000000004</v>
      </c>
      <c r="E64" s="2">
        <v>0</v>
      </c>
      <c r="F64" s="2">
        <v>0</v>
      </c>
      <c r="G64" s="5">
        <v>0.01</v>
      </c>
      <c r="H64" s="1">
        <v>50.840230099698061</v>
      </c>
      <c r="I64" s="1">
        <v>37.458936649999998</v>
      </c>
      <c r="J64" s="7">
        <v>0</v>
      </c>
      <c r="K64" s="8">
        <v>0</v>
      </c>
      <c r="M64" s="1"/>
    </row>
    <row r="65" spans="1:13" x14ac:dyDescent="0.25">
      <c r="A65">
        <v>2059</v>
      </c>
      <c r="B65" s="3">
        <v>0</v>
      </c>
      <c r="C65" s="1">
        <f t="shared" si="0"/>
        <v>0</v>
      </c>
      <c r="D65" s="1">
        <f t="shared" si="1"/>
        <v>405.98400000000004</v>
      </c>
      <c r="E65" s="2">
        <v>0</v>
      </c>
      <c r="F65" s="2">
        <v>0</v>
      </c>
      <c r="G65" s="5">
        <v>0.01</v>
      </c>
      <c r="H65" s="1">
        <v>50.840230099698061</v>
      </c>
      <c r="I65" s="1">
        <v>37.458936649999998</v>
      </c>
      <c r="J65" s="7">
        <v>0</v>
      </c>
      <c r="K65" s="8">
        <v>0</v>
      </c>
      <c r="M65" s="1"/>
    </row>
    <row r="66" spans="1:13" x14ac:dyDescent="0.25">
      <c r="A66">
        <v>2060</v>
      </c>
      <c r="B66" s="3">
        <v>0</v>
      </c>
      <c r="C66" s="1">
        <f t="shared" si="0"/>
        <v>0</v>
      </c>
      <c r="D66" s="1">
        <f t="shared" si="1"/>
        <v>405.98400000000004</v>
      </c>
      <c r="E66" s="2">
        <v>0</v>
      </c>
      <c r="F66" s="2">
        <v>0</v>
      </c>
      <c r="G66" s="5">
        <v>0.01</v>
      </c>
      <c r="H66" s="1">
        <v>50.840230099698061</v>
      </c>
      <c r="I66" s="1">
        <v>37.458936649999998</v>
      </c>
      <c r="J66" s="7">
        <v>0</v>
      </c>
      <c r="K66" s="8">
        <v>0</v>
      </c>
      <c r="M66" s="1"/>
    </row>
    <row r="67" spans="1:13" x14ac:dyDescent="0.25">
      <c r="A67">
        <v>2061</v>
      </c>
      <c r="B67" s="3">
        <v>0</v>
      </c>
      <c r="C67" s="1">
        <f t="shared" ref="C67:C106" si="3">B67/1000</f>
        <v>0</v>
      </c>
      <c r="D67" s="1">
        <f t="shared" si="1"/>
        <v>405.98400000000004</v>
      </c>
      <c r="E67" s="2">
        <v>0</v>
      </c>
      <c r="F67" s="2">
        <v>0</v>
      </c>
      <c r="G67" s="5">
        <v>0.01</v>
      </c>
      <c r="H67" s="1">
        <v>50.840230099698061</v>
      </c>
      <c r="I67" s="1">
        <v>37.458936649999998</v>
      </c>
      <c r="J67" s="7">
        <v>0</v>
      </c>
      <c r="K67" s="8">
        <v>0</v>
      </c>
      <c r="M67" s="1"/>
    </row>
    <row r="68" spans="1:13" x14ac:dyDescent="0.25">
      <c r="A68">
        <v>2062</v>
      </c>
      <c r="B68" s="3">
        <v>0</v>
      </c>
      <c r="C68" s="1">
        <f t="shared" si="3"/>
        <v>0</v>
      </c>
      <c r="D68" s="1">
        <f t="shared" ref="D68:D106" si="4">C68+D67</f>
        <v>405.98400000000004</v>
      </c>
      <c r="E68" s="2">
        <v>0</v>
      </c>
      <c r="F68" s="2">
        <v>0</v>
      </c>
      <c r="G68" s="5">
        <v>0.01</v>
      </c>
      <c r="H68" s="1">
        <v>50.840230099698061</v>
      </c>
      <c r="I68" s="1">
        <v>37.458936649999998</v>
      </c>
      <c r="J68" s="7">
        <v>0</v>
      </c>
      <c r="K68" s="8">
        <v>0</v>
      </c>
      <c r="M68" s="1"/>
    </row>
    <row r="69" spans="1:13" x14ac:dyDescent="0.25">
      <c r="A69">
        <v>2063</v>
      </c>
      <c r="B69" s="3">
        <v>0</v>
      </c>
      <c r="C69" s="1">
        <f t="shared" si="3"/>
        <v>0</v>
      </c>
      <c r="D69" s="1">
        <f t="shared" si="4"/>
        <v>405.98400000000004</v>
      </c>
      <c r="E69" s="2">
        <v>0</v>
      </c>
      <c r="F69" s="2">
        <v>0</v>
      </c>
      <c r="G69" s="5">
        <v>0.01</v>
      </c>
      <c r="H69" s="1">
        <v>50.840230099698061</v>
      </c>
      <c r="I69" s="1">
        <v>37.458936649999998</v>
      </c>
      <c r="J69" s="7">
        <v>0</v>
      </c>
      <c r="K69" s="8">
        <v>0</v>
      </c>
      <c r="M69" s="1"/>
    </row>
    <row r="70" spans="1:13" x14ac:dyDescent="0.25">
      <c r="A70">
        <v>2064</v>
      </c>
      <c r="B70" s="3">
        <v>0</v>
      </c>
      <c r="C70" s="1">
        <f t="shared" si="3"/>
        <v>0</v>
      </c>
      <c r="D70" s="1">
        <f t="shared" si="4"/>
        <v>405.98400000000004</v>
      </c>
      <c r="E70" s="2">
        <v>0</v>
      </c>
      <c r="F70" s="2">
        <v>0</v>
      </c>
      <c r="G70" s="5">
        <v>0.01</v>
      </c>
      <c r="H70" s="1">
        <v>50.840230099698061</v>
      </c>
      <c r="I70" s="1">
        <v>37.458936649999998</v>
      </c>
      <c r="J70" s="7">
        <v>0</v>
      </c>
      <c r="K70" s="8">
        <v>0</v>
      </c>
      <c r="M70" s="1"/>
    </row>
    <row r="71" spans="1:13" x14ac:dyDescent="0.25">
      <c r="A71">
        <v>2065</v>
      </c>
      <c r="B71" s="3">
        <v>0</v>
      </c>
      <c r="C71" s="1">
        <f t="shared" si="3"/>
        <v>0</v>
      </c>
      <c r="D71" s="1">
        <f t="shared" si="4"/>
        <v>405.98400000000004</v>
      </c>
      <c r="E71" s="2">
        <v>0</v>
      </c>
      <c r="F71" s="2">
        <v>0</v>
      </c>
      <c r="G71" s="5">
        <v>0.01</v>
      </c>
      <c r="H71" s="1">
        <v>50.840230099698061</v>
      </c>
      <c r="I71" s="1">
        <v>37.458936649999998</v>
      </c>
      <c r="J71" s="7">
        <v>0</v>
      </c>
      <c r="K71" s="8">
        <v>0</v>
      </c>
      <c r="M71" s="1"/>
    </row>
    <row r="72" spans="1:13" x14ac:dyDescent="0.25">
      <c r="A72">
        <v>2066</v>
      </c>
      <c r="B72" s="3">
        <v>0</v>
      </c>
      <c r="C72" s="1">
        <f t="shared" si="3"/>
        <v>0</v>
      </c>
      <c r="D72" s="1">
        <f t="shared" si="4"/>
        <v>405.98400000000004</v>
      </c>
      <c r="E72" s="2">
        <v>0</v>
      </c>
      <c r="F72" s="2">
        <v>0</v>
      </c>
      <c r="G72" s="5">
        <v>0.01</v>
      </c>
      <c r="H72" s="1">
        <v>50.840230099698061</v>
      </c>
      <c r="I72" s="1">
        <v>37.458936649999998</v>
      </c>
      <c r="J72" s="7">
        <v>0</v>
      </c>
      <c r="K72" s="8">
        <v>0</v>
      </c>
      <c r="M72" s="1"/>
    </row>
    <row r="73" spans="1:13" x14ac:dyDescent="0.25">
      <c r="A73">
        <v>2067</v>
      </c>
      <c r="B73" s="3">
        <v>0</v>
      </c>
      <c r="C73" s="1">
        <f t="shared" si="3"/>
        <v>0</v>
      </c>
      <c r="D73" s="1">
        <f t="shared" si="4"/>
        <v>405.98400000000004</v>
      </c>
      <c r="E73" s="2">
        <v>0</v>
      </c>
      <c r="F73" s="2">
        <v>0</v>
      </c>
      <c r="G73" s="5">
        <v>0.01</v>
      </c>
      <c r="H73" s="1">
        <v>50.840230099698061</v>
      </c>
      <c r="I73" s="1">
        <v>37.458936649999998</v>
      </c>
      <c r="J73" s="7">
        <v>0</v>
      </c>
      <c r="K73" s="8">
        <v>0</v>
      </c>
      <c r="M73" s="1"/>
    </row>
    <row r="74" spans="1:13" x14ac:dyDescent="0.25">
      <c r="A74">
        <v>2068</v>
      </c>
      <c r="B74" s="3">
        <v>0</v>
      </c>
      <c r="C74" s="1">
        <f t="shared" si="3"/>
        <v>0</v>
      </c>
      <c r="D74" s="1">
        <f t="shared" si="4"/>
        <v>405.98400000000004</v>
      </c>
      <c r="E74" s="2">
        <v>0</v>
      </c>
      <c r="F74" s="2">
        <v>0</v>
      </c>
      <c r="G74" s="5">
        <v>0.01</v>
      </c>
      <c r="H74" s="1">
        <v>50.840230099698061</v>
      </c>
      <c r="I74" s="1">
        <v>37.458936649999998</v>
      </c>
      <c r="J74" s="7">
        <v>0</v>
      </c>
      <c r="K74" s="8">
        <v>0</v>
      </c>
      <c r="M74" s="1"/>
    </row>
    <row r="75" spans="1:13" x14ac:dyDescent="0.25">
      <c r="A75">
        <v>2069</v>
      </c>
      <c r="B75" s="3">
        <v>0</v>
      </c>
      <c r="C75" s="1">
        <f t="shared" si="3"/>
        <v>0</v>
      </c>
      <c r="D75" s="1">
        <f t="shared" si="4"/>
        <v>405.98400000000004</v>
      </c>
      <c r="E75" s="2">
        <v>0</v>
      </c>
      <c r="F75" s="2">
        <v>0</v>
      </c>
      <c r="G75" s="5">
        <v>0.01</v>
      </c>
      <c r="H75" s="1">
        <v>50.840230099698061</v>
      </c>
      <c r="I75" s="1">
        <v>37.458936649999998</v>
      </c>
      <c r="J75" s="7">
        <v>0</v>
      </c>
      <c r="K75" s="8">
        <v>0</v>
      </c>
      <c r="M75" s="1"/>
    </row>
    <row r="76" spans="1:13" x14ac:dyDescent="0.25">
      <c r="A76">
        <v>2070</v>
      </c>
      <c r="B76" s="3">
        <v>0</v>
      </c>
      <c r="C76" s="1">
        <f t="shared" si="3"/>
        <v>0</v>
      </c>
      <c r="D76" s="1">
        <f t="shared" si="4"/>
        <v>405.98400000000004</v>
      </c>
      <c r="E76" s="2">
        <v>0</v>
      </c>
      <c r="F76" s="2">
        <v>0</v>
      </c>
      <c r="G76" s="5">
        <v>0.01</v>
      </c>
      <c r="H76" s="1">
        <v>50.840230099698061</v>
      </c>
      <c r="I76" s="1">
        <v>37.458936649999998</v>
      </c>
      <c r="J76" s="7">
        <v>0</v>
      </c>
      <c r="K76" s="8">
        <v>0</v>
      </c>
      <c r="M76" s="1"/>
    </row>
    <row r="77" spans="1:13" x14ac:dyDescent="0.25">
      <c r="A77">
        <v>2071</v>
      </c>
      <c r="B77" s="3">
        <v>0</v>
      </c>
      <c r="C77" s="1">
        <f t="shared" si="3"/>
        <v>0</v>
      </c>
      <c r="D77" s="1">
        <f t="shared" si="4"/>
        <v>405.98400000000004</v>
      </c>
      <c r="E77" s="2">
        <v>0</v>
      </c>
      <c r="F77" s="2">
        <v>0</v>
      </c>
      <c r="G77" s="5">
        <v>0.01</v>
      </c>
      <c r="H77" s="1">
        <v>50.840230099698061</v>
      </c>
      <c r="I77" s="1">
        <v>37.458936649999998</v>
      </c>
      <c r="J77" s="7">
        <v>0</v>
      </c>
      <c r="K77" s="8">
        <v>0</v>
      </c>
      <c r="M77" s="1"/>
    </row>
    <row r="78" spans="1:13" x14ac:dyDescent="0.25">
      <c r="A78">
        <v>2072</v>
      </c>
      <c r="B78" s="3">
        <v>0</v>
      </c>
      <c r="C78" s="1">
        <f t="shared" si="3"/>
        <v>0</v>
      </c>
      <c r="D78" s="1">
        <f t="shared" si="4"/>
        <v>405.98400000000004</v>
      </c>
      <c r="E78" s="2">
        <v>0</v>
      </c>
      <c r="F78" s="2">
        <v>0</v>
      </c>
      <c r="G78" s="5">
        <v>0.01</v>
      </c>
      <c r="H78" s="1">
        <v>50.840230099698061</v>
      </c>
      <c r="I78" s="1">
        <v>37.458936649999998</v>
      </c>
      <c r="J78" s="7">
        <v>0</v>
      </c>
      <c r="K78" s="8">
        <v>0</v>
      </c>
      <c r="M78" s="1"/>
    </row>
    <row r="79" spans="1:13" x14ac:dyDescent="0.25">
      <c r="A79">
        <v>2073</v>
      </c>
      <c r="B79" s="3">
        <v>0</v>
      </c>
      <c r="C79" s="1">
        <f t="shared" si="3"/>
        <v>0</v>
      </c>
      <c r="D79" s="1">
        <f t="shared" si="4"/>
        <v>405.98400000000004</v>
      </c>
      <c r="E79" s="2">
        <v>0</v>
      </c>
      <c r="F79" s="2">
        <v>0</v>
      </c>
      <c r="G79" s="5">
        <v>0.01</v>
      </c>
      <c r="H79" s="1">
        <v>50.840230099698061</v>
      </c>
      <c r="I79" s="1">
        <v>37.458936649999998</v>
      </c>
      <c r="J79" s="7">
        <v>0</v>
      </c>
      <c r="K79" s="8">
        <v>0</v>
      </c>
      <c r="M79" s="1"/>
    </row>
    <row r="80" spans="1:13" x14ac:dyDescent="0.25">
      <c r="A80">
        <v>2074</v>
      </c>
      <c r="B80" s="3">
        <v>0</v>
      </c>
      <c r="C80" s="1">
        <f t="shared" si="3"/>
        <v>0</v>
      </c>
      <c r="D80" s="1">
        <f t="shared" si="4"/>
        <v>405.98400000000004</v>
      </c>
      <c r="E80" s="2">
        <v>0</v>
      </c>
      <c r="F80" s="2">
        <v>0</v>
      </c>
      <c r="G80" s="5">
        <v>0.01</v>
      </c>
      <c r="H80" s="1">
        <v>50.840230099698061</v>
      </c>
      <c r="I80" s="1">
        <v>37.458936649999998</v>
      </c>
      <c r="J80" s="7">
        <v>0</v>
      </c>
      <c r="K80" s="8">
        <v>0</v>
      </c>
      <c r="M80" s="1"/>
    </row>
    <row r="81" spans="1:13" x14ac:dyDescent="0.25">
      <c r="A81">
        <v>2075</v>
      </c>
      <c r="B81" s="3">
        <v>0</v>
      </c>
      <c r="C81" s="1">
        <f t="shared" si="3"/>
        <v>0</v>
      </c>
      <c r="D81" s="1">
        <f t="shared" si="4"/>
        <v>405.98400000000004</v>
      </c>
      <c r="E81" s="2">
        <v>0</v>
      </c>
      <c r="F81" s="2">
        <v>0</v>
      </c>
      <c r="G81" s="5">
        <v>0.01</v>
      </c>
      <c r="H81" s="1">
        <v>50.840230099698061</v>
      </c>
      <c r="I81" s="1">
        <v>37.458936649999998</v>
      </c>
      <c r="J81" s="7">
        <v>0</v>
      </c>
      <c r="K81" s="8">
        <v>0</v>
      </c>
      <c r="M81" s="1"/>
    </row>
    <row r="82" spans="1:13" x14ac:dyDescent="0.25">
      <c r="A82">
        <v>2076</v>
      </c>
      <c r="B82" s="3">
        <v>0</v>
      </c>
      <c r="C82" s="1">
        <f t="shared" si="3"/>
        <v>0</v>
      </c>
      <c r="D82" s="1">
        <f t="shared" si="4"/>
        <v>405.98400000000004</v>
      </c>
      <c r="E82" s="2">
        <v>0</v>
      </c>
      <c r="F82" s="2">
        <v>0</v>
      </c>
      <c r="G82" s="5">
        <v>0.01</v>
      </c>
      <c r="H82" s="1">
        <v>50.840230099698061</v>
      </c>
      <c r="I82" s="1">
        <v>37.458936649999998</v>
      </c>
      <c r="J82" s="7">
        <v>0</v>
      </c>
      <c r="K82" s="8">
        <v>0</v>
      </c>
      <c r="M82" s="1"/>
    </row>
    <row r="83" spans="1:13" x14ac:dyDescent="0.25">
      <c r="A83">
        <v>2077</v>
      </c>
      <c r="B83" s="3">
        <v>0</v>
      </c>
      <c r="C83" s="1">
        <f t="shared" si="3"/>
        <v>0</v>
      </c>
      <c r="D83" s="1">
        <f t="shared" si="4"/>
        <v>405.98400000000004</v>
      </c>
      <c r="E83" s="2">
        <v>0</v>
      </c>
      <c r="F83" s="2">
        <v>0</v>
      </c>
      <c r="G83" s="5">
        <v>0.01</v>
      </c>
      <c r="H83" s="1">
        <v>50.840230099698061</v>
      </c>
      <c r="I83" s="1">
        <v>37.458936649999998</v>
      </c>
      <c r="J83" s="7">
        <v>0</v>
      </c>
      <c r="K83" s="8">
        <v>0</v>
      </c>
      <c r="M83" s="1"/>
    </row>
    <row r="84" spans="1:13" x14ac:dyDescent="0.25">
      <c r="A84">
        <v>2078</v>
      </c>
      <c r="B84" s="3">
        <v>0</v>
      </c>
      <c r="C84" s="1">
        <f t="shared" si="3"/>
        <v>0</v>
      </c>
      <c r="D84" s="1">
        <f t="shared" si="4"/>
        <v>405.98400000000004</v>
      </c>
      <c r="E84" s="2">
        <v>0</v>
      </c>
      <c r="F84" s="2">
        <v>0</v>
      </c>
      <c r="G84" s="5">
        <v>0.01</v>
      </c>
      <c r="H84" s="1">
        <v>50.840230099698061</v>
      </c>
      <c r="I84" s="1">
        <v>37.458936649999998</v>
      </c>
      <c r="J84" s="7">
        <v>0</v>
      </c>
      <c r="K84" s="8">
        <v>0</v>
      </c>
      <c r="M84" s="1"/>
    </row>
    <row r="85" spans="1:13" x14ac:dyDescent="0.25">
      <c r="A85">
        <v>2079</v>
      </c>
      <c r="B85" s="3">
        <v>0</v>
      </c>
      <c r="C85" s="1">
        <f t="shared" si="3"/>
        <v>0</v>
      </c>
      <c r="D85" s="1">
        <f t="shared" si="4"/>
        <v>405.98400000000004</v>
      </c>
      <c r="E85" s="2">
        <v>0</v>
      </c>
      <c r="F85" s="2">
        <v>0</v>
      </c>
      <c r="G85" s="5">
        <v>0.01</v>
      </c>
      <c r="H85" s="1">
        <v>50.840230099698061</v>
      </c>
      <c r="I85" s="1">
        <v>37.458936649999998</v>
      </c>
      <c r="J85" s="7">
        <v>0</v>
      </c>
      <c r="K85" s="8">
        <v>0</v>
      </c>
      <c r="M85" s="1"/>
    </row>
    <row r="86" spans="1:13" x14ac:dyDescent="0.25">
      <c r="A86">
        <v>2080</v>
      </c>
      <c r="B86" s="3">
        <v>0</v>
      </c>
      <c r="C86" s="1">
        <f t="shared" si="3"/>
        <v>0</v>
      </c>
      <c r="D86" s="1">
        <f t="shared" si="4"/>
        <v>405.98400000000004</v>
      </c>
      <c r="E86" s="2">
        <v>0</v>
      </c>
      <c r="F86" s="2">
        <v>0</v>
      </c>
      <c r="G86" s="5">
        <v>0.01</v>
      </c>
      <c r="H86" s="1">
        <v>50.840230099698061</v>
      </c>
      <c r="I86" s="1">
        <v>37.458936649999998</v>
      </c>
      <c r="J86" s="7">
        <v>0</v>
      </c>
      <c r="K86" s="8">
        <v>0</v>
      </c>
      <c r="M86" s="1"/>
    </row>
    <row r="87" spans="1:13" x14ac:dyDescent="0.25">
      <c r="A87">
        <v>2081</v>
      </c>
      <c r="B87" s="3">
        <v>0</v>
      </c>
      <c r="C87" s="1">
        <f t="shared" si="3"/>
        <v>0</v>
      </c>
      <c r="D87" s="1">
        <f t="shared" si="4"/>
        <v>405.98400000000004</v>
      </c>
      <c r="E87" s="2">
        <v>0</v>
      </c>
      <c r="F87" s="2">
        <v>0</v>
      </c>
      <c r="G87" s="5">
        <v>0.01</v>
      </c>
      <c r="H87" s="1">
        <v>50.840230099698061</v>
      </c>
      <c r="I87" s="1">
        <v>37.458936649999998</v>
      </c>
      <c r="J87" s="7">
        <v>0</v>
      </c>
      <c r="K87" s="8">
        <v>0</v>
      </c>
      <c r="M87" s="1"/>
    </row>
    <row r="88" spans="1:13" x14ac:dyDescent="0.25">
      <c r="A88">
        <v>2082</v>
      </c>
      <c r="B88" s="3">
        <v>0</v>
      </c>
      <c r="C88" s="1">
        <f t="shared" si="3"/>
        <v>0</v>
      </c>
      <c r="D88" s="1">
        <f t="shared" si="4"/>
        <v>405.98400000000004</v>
      </c>
      <c r="E88" s="2">
        <v>0</v>
      </c>
      <c r="F88" s="2">
        <v>0</v>
      </c>
      <c r="G88" s="5">
        <v>0.01</v>
      </c>
      <c r="H88" s="1">
        <v>50.840230099698061</v>
      </c>
      <c r="I88" s="1">
        <v>37.458936649999998</v>
      </c>
      <c r="J88" s="7">
        <v>0</v>
      </c>
      <c r="K88" s="8">
        <v>0</v>
      </c>
      <c r="M88" s="1"/>
    </row>
    <row r="89" spans="1:13" x14ac:dyDescent="0.25">
      <c r="A89">
        <v>2083</v>
      </c>
      <c r="B89" s="3">
        <v>0</v>
      </c>
      <c r="C89" s="1">
        <f t="shared" si="3"/>
        <v>0</v>
      </c>
      <c r="D89" s="1">
        <f t="shared" si="4"/>
        <v>405.98400000000004</v>
      </c>
      <c r="E89" s="2">
        <v>0</v>
      </c>
      <c r="F89" s="2">
        <v>0</v>
      </c>
      <c r="G89" s="5">
        <v>0.01</v>
      </c>
      <c r="H89" s="1">
        <v>50.840230099698061</v>
      </c>
      <c r="I89" s="1">
        <v>37.458936649999998</v>
      </c>
      <c r="J89" s="7">
        <v>0</v>
      </c>
      <c r="K89" s="8">
        <v>0</v>
      </c>
      <c r="M89" s="1"/>
    </row>
    <row r="90" spans="1:13" x14ac:dyDescent="0.25">
      <c r="A90">
        <v>2084</v>
      </c>
      <c r="B90" s="3">
        <v>0</v>
      </c>
      <c r="C90" s="1">
        <f t="shared" si="3"/>
        <v>0</v>
      </c>
      <c r="D90" s="1">
        <f t="shared" si="4"/>
        <v>405.98400000000004</v>
      </c>
      <c r="E90" s="2">
        <v>0</v>
      </c>
      <c r="F90" s="2">
        <v>0</v>
      </c>
      <c r="G90" s="5">
        <v>0.01</v>
      </c>
      <c r="H90" s="1">
        <v>50.840230099698061</v>
      </c>
      <c r="I90" s="1">
        <v>37.458936649999998</v>
      </c>
      <c r="J90" s="7">
        <v>0</v>
      </c>
      <c r="K90" s="8">
        <v>0</v>
      </c>
      <c r="M90" s="1"/>
    </row>
    <row r="91" spans="1:13" x14ac:dyDescent="0.25">
      <c r="A91">
        <v>2085</v>
      </c>
      <c r="B91" s="3">
        <v>0</v>
      </c>
      <c r="C91" s="1">
        <f t="shared" si="3"/>
        <v>0</v>
      </c>
      <c r="D91" s="1">
        <f t="shared" si="4"/>
        <v>405.98400000000004</v>
      </c>
      <c r="E91" s="2">
        <v>0</v>
      </c>
      <c r="F91" s="2">
        <v>0</v>
      </c>
      <c r="G91" s="5">
        <v>0.01</v>
      </c>
      <c r="H91" s="1">
        <v>50.840230099698061</v>
      </c>
      <c r="I91" s="1">
        <v>37.458936649999998</v>
      </c>
      <c r="J91" s="7">
        <v>0</v>
      </c>
      <c r="K91" s="8">
        <v>0</v>
      </c>
      <c r="M91" s="1"/>
    </row>
    <row r="92" spans="1:13" x14ac:dyDescent="0.25">
      <c r="A92">
        <v>2086</v>
      </c>
      <c r="B92" s="3">
        <v>0</v>
      </c>
      <c r="C92" s="1">
        <f t="shared" si="3"/>
        <v>0</v>
      </c>
      <c r="D92" s="1">
        <f t="shared" si="4"/>
        <v>405.98400000000004</v>
      </c>
      <c r="E92" s="2">
        <v>0</v>
      </c>
      <c r="F92" s="2">
        <v>0</v>
      </c>
      <c r="G92" s="5">
        <v>0.01</v>
      </c>
      <c r="H92" s="1">
        <v>50.840230099698061</v>
      </c>
      <c r="I92" s="1">
        <v>37.458936649999998</v>
      </c>
      <c r="J92" s="7">
        <v>0</v>
      </c>
      <c r="K92" s="8">
        <v>0</v>
      </c>
      <c r="M92" s="1"/>
    </row>
    <row r="93" spans="1:13" x14ac:dyDescent="0.25">
      <c r="A93">
        <v>2087</v>
      </c>
      <c r="B93" s="3">
        <v>0</v>
      </c>
      <c r="C93" s="1">
        <f t="shared" si="3"/>
        <v>0</v>
      </c>
      <c r="D93" s="1">
        <f t="shared" si="4"/>
        <v>405.98400000000004</v>
      </c>
      <c r="E93" s="2">
        <v>0</v>
      </c>
      <c r="F93" s="2">
        <v>0</v>
      </c>
      <c r="G93" s="5">
        <v>0.01</v>
      </c>
      <c r="H93" s="1">
        <v>50.840230099698061</v>
      </c>
      <c r="I93" s="1">
        <v>37.458936649999998</v>
      </c>
      <c r="J93" s="7">
        <v>0</v>
      </c>
      <c r="K93" s="8">
        <v>0</v>
      </c>
      <c r="M93" s="1"/>
    </row>
    <row r="94" spans="1:13" x14ac:dyDescent="0.25">
      <c r="A94">
        <v>2088</v>
      </c>
      <c r="B94" s="3">
        <v>0</v>
      </c>
      <c r="C94" s="1">
        <f t="shared" si="3"/>
        <v>0</v>
      </c>
      <c r="D94" s="1">
        <f t="shared" si="4"/>
        <v>405.98400000000004</v>
      </c>
      <c r="E94" s="2">
        <v>0</v>
      </c>
      <c r="F94" s="2">
        <v>0</v>
      </c>
      <c r="G94" s="5">
        <v>0.01</v>
      </c>
      <c r="H94" s="1">
        <v>50.840230099698061</v>
      </c>
      <c r="I94" s="1">
        <v>37.458936649999998</v>
      </c>
      <c r="J94" s="7">
        <v>0</v>
      </c>
      <c r="K94" s="8">
        <v>0</v>
      </c>
      <c r="M94" s="1"/>
    </row>
    <row r="95" spans="1:13" x14ac:dyDescent="0.25">
      <c r="A95">
        <v>2089</v>
      </c>
      <c r="B95" s="3">
        <v>0</v>
      </c>
      <c r="C95" s="1">
        <f t="shared" si="3"/>
        <v>0</v>
      </c>
      <c r="D95" s="1">
        <f t="shared" si="4"/>
        <v>405.98400000000004</v>
      </c>
      <c r="E95" s="2">
        <v>0</v>
      </c>
      <c r="F95" s="2">
        <v>0</v>
      </c>
      <c r="G95" s="5">
        <v>0.01</v>
      </c>
      <c r="H95" s="1">
        <v>50.840230099698061</v>
      </c>
      <c r="I95" s="1">
        <v>37.458936649999998</v>
      </c>
      <c r="J95" s="7">
        <v>0</v>
      </c>
      <c r="K95" s="8">
        <v>0</v>
      </c>
      <c r="M95" s="1"/>
    </row>
    <row r="96" spans="1:13" x14ac:dyDescent="0.25">
      <c r="A96">
        <v>2090</v>
      </c>
      <c r="B96" s="3">
        <v>0</v>
      </c>
      <c r="C96" s="1">
        <f t="shared" si="3"/>
        <v>0</v>
      </c>
      <c r="D96" s="1">
        <f t="shared" si="4"/>
        <v>405.98400000000004</v>
      </c>
      <c r="E96" s="2">
        <v>0</v>
      </c>
      <c r="F96" s="2">
        <v>0</v>
      </c>
      <c r="G96" s="5">
        <v>0.01</v>
      </c>
      <c r="H96" s="1">
        <v>50.840230099698061</v>
      </c>
      <c r="I96" s="1">
        <v>37.458936649999998</v>
      </c>
      <c r="J96" s="7">
        <v>0</v>
      </c>
      <c r="K96" s="8">
        <v>0</v>
      </c>
      <c r="M96" s="1"/>
    </row>
    <row r="97" spans="1:13" x14ac:dyDescent="0.25">
      <c r="A97">
        <v>2091</v>
      </c>
      <c r="B97" s="3">
        <v>0</v>
      </c>
      <c r="C97" s="1">
        <f t="shared" si="3"/>
        <v>0</v>
      </c>
      <c r="D97" s="1">
        <f t="shared" si="4"/>
        <v>405.98400000000004</v>
      </c>
      <c r="E97" s="2">
        <v>0</v>
      </c>
      <c r="F97" s="2">
        <v>0</v>
      </c>
      <c r="G97" s="5">
        <v>0.01</v>
      </c>
      <c r="H97" s="1">
        <v>50.840230099698061</v>
      </c>
      <c r="I97" s="1">
        <v>37.458936649999998</v>
      </c>
      <c r="J97" s="7">
        <v>0</v>
      </c>
      <c r="K97" s="8">
        <v>0</v>
      </c>
      <c r="M97" s="1"/>
    </row>
    <row r="98" spans="1:13" x14ac:dyDescent="0.25">
      <c r="A98">
        <v>2092</v>
      </c>
      <c r="B98" s="3">
        <v>0</v>
      </c>
      <c r="C98" s="1">
        <f t="shared" si="3"/>
        <v>0</v>
      </c>
      <c r="D98" s="1">
        <f t="shared" si="4"/>
        <v>405.98400000000004</v>
      </c>
      <c r="E98" s="2">
        <v>0</v>
      </c>
      <c r="F98" s="2">
        <v>0</v>
      </c>
      <c r="G98" s="5">
        <v>0.01</v>
      </c>
      <c r="H98" s="1">
        <v>50.840230099698061</v>
      </c>
      <c r="I98" s="1">
        <v>37.458936649999998</v>
      </c>
      <c r="J98" s="7">
        <v>0</v>
      </c>
      <c r="K98" s="8">
        <v>0</v>
      </c>
      <c r="M98" s="1"/>
    </row>
    <row r="99" spans="1:13" x14ac:dyDescent="0.25">
      <c r="A99">
        <v>2093</v>
      </c>
      <c r="B99" s="3">
        <v>0</v>
      </c>
      <c r="C99" s="1">
        <f t="shared" si="3"/>
        <v>0</v>
      </c>
      <c r="D99" s="1">
        <f t="shared" si="4"/>
        <v>405.98400000000004</v>
      </c>
      <c r="E99" s="2">
        <v>0</v>
      </c>
      <c r="F99" s="2">
        <v>0</v>
      </c>
      <c r="G99" s="5">
        <v>0.01</v>
      </c>
      <c r="H99" s="1">
        <v>50.840230099698061</v>
      </c>
      <c r="I99" s="1">
        <v>37.458936649999998</v>
      </c>
      <c r="J99" s="7">
        <v>0</v>
      </c>
      <c r="K99" s="8">
        <v>0</v>
      </c>
      <c r="M99" s="1"/>
    </row>
    <row r="100" spans="1:13" x14ac:dyDescent="0.25">
      <c r="A100">
        <v>2094</v>
      </c>
      <c r="B100" s="3">
        <v>0</v>
      </c>
      <c r="C100" s="1">
        <f t="shared" si="3"/>
        <v>0</v>
      </c>
      <c r="D100" s="1">
        <f t="shared" si="4"/>
        <v>405.98400000000004</v>
      </c>
      <c r="E100" s="2">
        <v>0</v>
      </c>
      <c r="F100" s="2">
        <v>0</v>
      </c>
      <c r="G100" s="5">
        <v>0.01</v>
      </c>
      <c r="H100" s="1">
        <v>50.840230099698061</v>
      </c>
      <c r="I100" s="1">
        <v>37.458936649999998</v>
      </c>
      <c r="J100" s="7">
        <v>0</v>
      </c>
      <c r="K100" s="8">
        <v>0</v>
      </c>
      <c r="M100" s="1"/>
    </row>
    <row r="101" spans="1:13" x14ac:dyDescent="0.25">
      <c r="A101">
        <v>2095</v>
      </c>
      <c r="B101" s="3">
        <v>0</v>
      </c>
      <c r="C101" s="1">
        <f t="shared" si="3"/>
        <v>0</v>
      </c>
      <c r="D101" s="1">
        <f t="shared" si="4"/>
        <v>405.98400000000004</v>
      </c>
      <c r="E101" s="2">
        <v>0</v>
      </c>
      <c r="F101" s="2">
        <v>0</v>
      </c>
      <c r="G101" s="5">
        <v>0.01</v>
      </c>
      <c r="H101" s="1">
        <v>50.840230099698061</v>
      </c>
      <c r="I101" s="1">
        <v>37.458936649999998</v>
      </c>
      <c r="J101" s="7">
        <v>0</v>
      </c>
      <c r="K101" s="8">
        <v>0</v>
      </c>
      <c r="M101" s="1"/>
    </row>
    <row r="102" spans="1:13" x14ac:dyDescent="0.25">
      <c r="A102">
        <v>2096</v>
      </c>
      <c r="B102" s="3">
        <v>0</v>
      </c>
      <c r="C102" s="1">
        <f t="shared" si="3"/>
        <v>0</v>
      </c>
      <c r="D102" s="1">
        <f t="shared" si="4"/>
        <v>405.98400000000004</v>
      </c>
      <c r="E102" s="2">
        <v>0</v>
      </c>
      <c r="F102" s="2">
        <v>0</v>
      </c>
      <c r="G102" s="5">
        <v>0.01</v>
      </c>
      <c r="H102" s="1">
        <v>50.840230099698061</v>
      </c>
      <c r="I102" s="1">
        <v>37.458936649999998</v>
      </c>
      <c r="J102" s="7">
        <v>0</v>
      </c>
      <c r="K102" s="8">
        <v>0</v>
      </c>
      <c r="M102" s="1"/>
    </row>
    <row r="103" spans="1:13" x14ac:dyDescent="0.25">
      <c r="A103">
        <v>2097</v>
      </c>
      <c r="B103" s="3">
        <v>0</v>
      </c>
      <c r="C103" s="1">
        <f t="shared" si="3"/>
        <v>0</v>
      </c>
      <c r="D103" s="1">
        <f t="shared" si="4"/>
        <v>405.98400000000004</v>
      </c>
      <c r="E103" s="2">
        <v>0</v>
      </c>
      <c r="F103" s="2">
        <v>0</v>
      </c>
      <c r="G103" s="5">
        <v>0.01</v>
      </c>
      <c r="H103" s="1">
        <v>50.840230099698061</v>
      </c>
      <c r="I103" s="1">
        <v>37.458936649999998</v>
      </c>
      <c r="J103" s="7">
        <v>0</v>
      </c>
      <c r="K103" s="8">
        <v>0</v>
      </c>
      <c r="M103" s="1"/>
    </row>
    <row r="104" spans="1:13" x14ac:dyDescent="0.25">
      <c r="A104">
        <v>2098</v>
      </c>
      <c r="B104" s="3">
        <v>0</v>
      </c>
      <c r="C104" s="1">
        <f t="shared" si="3"/>
        <v>0</v>
      </c>
      <c r="D104" s="1">
        <f t="shared" si="4"/>
        <v>405.98400000000004</v>
      </c>
      <c r="E104" s="2">
        <v>0</v>
      </c>
      <c r="F104" s="2">
        <v>0</v>
      </c>
      <c r="G104" s="5">
        <v>0.01</v>
      </c>
      <c r="H104" s="1">
        <v>50.840230099698061</v>
      </c>
      <c r="I104" s="1">
        <v>37.458936649999998</v>
      </c>
      <c r="J104" s="7">
        <v>0</v>
      </c>
      <c r="K104" s="8">
        <v>0</v>
      </c>
      <c r="M104" s="1"/>
    </row>
    <row r="105" spans="1:13" x14ac:dyDescent="0.25">
      <c r="A105">
        <v>2099</v>
      </c>
      <c r="B105" s="3">
        <v>0</v>
      </c>
      <c r="C105" s="1">
        <f t="shared" si="3"/>
        <v>0</v>
      </c>
      <c r="D105" s="1">
        <f t="shared" si="4"/>
        <v>405.98400000000004</v>
      </c>
      <c r="E105" s="2">
        <v>0</v>
      </c>
      <c r="F105" s="2">
        <v>0</v>
      </c>
      <c r="G105" s="5">
        <v>0.01</v>
      </c>
      <c r="H105" s="1">
        <v>50.840230099698061</v>
      </c>
      <c r="I105" s="1">
        <v>37.458936649999998</v>
      </c>
      <c r="J105" s="7">
        <v>0</v>
      </c>
      <c r="K105" s="8">
        <v>0</v>
      </c>
      <c r="M105" s="1"/>
    </row>
    <row r="106" spans="1:13" x14ac:dyDescent="0.25">
      <c r="A106">
        <v>2100</v>
      </c>
      <c r="B106" s="3">
        <v>0</v>
      </c>
      <c r="C106" s="1">
        <f t="shared" si="3"/>
        <v>0</v>
      </c>
      <c r="D106" s="1">
        <f t="shared" si="4"/>
        <v>405.98400000000004</v>
      </c>
      <c r="E106" s="2">
        <v>0</v>
      </c>
      <c r="F106" s="2">
        <v>0</v>
      </c>
      <c r="G106" s="5">
        <v>0.01</v>
      </c>
      <c r="H106" s="1">
        <v>50.840230099698061</v>
      </c>
      <c r="I106" s="1">
        <v>37.458936649999998</v>
      </c>
      <c r="J106" s="7">
        <v>0</v>
      </c>
      <c r="K106" s="8">
        <v>0</v>
      </c>
      <c r="M106" s="1"/>
    </row>
    <row r="107" spans="1:13" x14ac:dyDescent="0.25">
      <c r="M10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B8C8C-9DDB-45A0-A568-19EAD1B1D97C}">
  <dimension ref="A1:A863"/>
  <sheetViews>
    <sheetView topLeftCell="A4" workbookViewId="0">
      <selection activeCell="A2" sqref="A2"/>
    </sheetView>
  </sheetViews>
  <sheetFormatPr defaultRowHeight="15" x14ac:dyDescent="0.25"/>
  <sheetData>
    <row r="1" spans="1:1" x14ac:dyDescent="0.25">
      <c r="A1" t="s">
        <v>10</v>
      </c>
    </row>
    <row r="2" spans="1:1" x14ac:dyDescent="0.25">
      <c r="A2">
        <f>(1000/'[1]Figure 1'!G2)</f>
        <v>53.937432578209282</v>
      </c>
    </row>
    <row r="3" spans="1:1" x14ac:dyDescent="0.25">
      <c r="A3">
        <f>(1000/'[1]Figure 1'!G3)</f>
        <v>54.318305268875612</v>
      </c>
    </row>
    <row r="4" spans="1:1" x14ac:dyDescent="0.25">
      <c r="A4">
        <f>(1000/'[1]Figure 1'!G4)</f>
        <v>54.704595185995622</v>
      </c>
    </row>
    <row r="5" spans="1:1" x14ac:dyDescent="0.25">
      <c r="A5">
        <f>(1000/'[1]Figure 1'!G5)</f>
        <v>55.096418732782375</v>
      </c>
    </row>
    <row r="6" spans="1:1" x14ac:dyDescent="0.25">
      <c r="A6">
        <f>(1000/'[1]Figure 1'!G6)</f>
        <v>55.493895671476139</v>
      </c>
    </row>
    <row r="7" spans="1:1" x14ac:dyDescent="0.25">
      <c r="A7">
        <f>(1000/'[1]Figure 1'!G7)</f>
        <v>55.897149245388484</v>
      </c>
    </row>
    <row r="8" spans="1:1" x14ac:dyDescent="0.25">
      <c r="A8">
        <f>(1000/'[1]Figure 1'!G8)</f>
        <v>52.714812862414341</v>
      </c>
    </row>
    <row r="9" spans="1:1" x14ac:dyDescent="0.25">
      <c r="A9">
        <f>(1000/'[1]Figure 1'!G9)</f>
        <v>51.948051948051948</v>
      </c>
    </row>
    <row r="10" spans="1:1" x14ac:dyDescent="0.25">
      <c r="A10">
        <f>(1000/'[1]Figure 1'!G10)</f>
        <v>54.112554112554115</v>
      </c>
    </row>
    <row r="11" spans="1:1" x14ac:dyDescent="0.25">
      <c r="A11">
        <f>(1000/'[1]Figure 1'!G11)</f>
        <v>53.134962805526037</v>
      </c>
    </row>
    <row r="12" spans="1:1" x14ac:dyDescent="0.25">
      <c r="A12">
        <f>(1000/'[1]Figure 1'!G12)</f>
        <v>52.356020942408371</v>
      </c>
    </row>
    <row r="13" spans="1:1" x14ac:dyDescent="0.25">
      <c r="A13">
        <f>(1000/'[1]Figure 1'!G13)</f>
        <v>54.525627044711015</v>
      </c>
    </row>
    <row r="14" spans="1:1" x14ac:dyDescent="0.25">
      <c r="A14">
        <f>(1000/'[1]Figure 1'!G14)</f>
        <v>53.533190578158461</v>
      </c>
    </row>
    <row r="15" spans="1:1" x14ac:dyDescent="0.25">
      <c r="A15">
        <f>(1000/'[1]Figure 1'!G15)</f>
        <v>52.742616033755269</v>
      </c>
    </row>
    <row r="16" spans="1:1" x14ac:dyDescent="0.25">
      <c r="A16">
        <f>(1000/'[1]Figure 1'!G16)</f>
        <v>54.975261132490374</v>
      </c>
    </row>
    <row r="17" spans="1:1" x14ac:dyDescent="0.25">
      <c r="A17">
        <f>(1000/'[1]Figure 1'!G17)</f>
        <v>53.966540744738261</v>
      </c>
    </row>
    <row r="18" spans="1:1" x14ac:dyDescent="0.25">
      <c r="A18">
        <f>(1000/'[1]Figure 1'!G18)</f>
        <v>53.163211057947905</v>
      </c>
    </row>
    <row r="19" spans="1:1" x14ac:dyDescent="0.25">
      <c r="A19">
        <f>(1000/'[1]Figure 1'!G19)</f>
        <v>55.401662049861493</v>
      </c>
    </row>
    <row r="20" spans="1:1" x14ac:dyDescent="0.25">
      <c r="A20">
        <f>(1000/'[1]Figure 1'!G20)</f>
        <v>48.97159647404505</v>
      </c>
    </row>
    <row r="21" spans="1:1" x14ac:dyDescent="0.25">
      <c r="A21">
        <f>(1000/'[1]Figure 1'!G21)</f>
        <v>54.406964091403701</v>
      </c>
    </row>
    <row r="22" spans="1:1" x14ac:dyDescent="0.25">
      <c r="A22">
        <f>(1000/'[1]Figure 1'!G22)</f>
        <v>53.590568060021432</v>
      </c>
    </row>
    <row r="23" spans="1:1" x14ac:dyDescent="0.25">
      <c r="A23">
        <f>(1000/'[1]Figure 1'!G23)</f>
        <v>55.83472920156337</v>
      </c>
    </row>
    <row r="24" spans="1:1" x14ac:dyDescent="0.25">
      <c r="A24">
        <f>(1000/'[1]Figure 1'!G24)</f>
        <v>49.358341559723591</v>
      </c>
    </row>
    <row r="25" spans="1:1" x14ac:dyDescent="0.25">
      <c r="A25">
        <f>(1000/'[1]Figure 1'!G25)</f>
        <v>54.824561403508774</v>
      </c>
    </row>
    <row r="26" spans="1:1" x14ac:dyDescent="0.25">
      <c r="A26">
        <f>(1000/'[1]Figure 1'!G26)</f>
        <v>51.599587203302377</v>
      </c>
    </row>
    <row r="27" spans="1:1" x14ac:dyDescent="0.25">
      <c r="A27">
        <f>(1000/'[1]Figure 1'!G27)</f>
        <v>54.024851431658561</v>
      </c>
    </row>
    <row r="28" spans="1:1" x14ac:dyDescent="0.25">
      <c r="A28">
        <f>(1000/'[1]Figure 1'!G28)</f>
        <v>54.347826086956523</v>
      </c>
    </row>
    <row r="29" spans="1:1" x14ac:dyDescent="0.25">
      <c r="A29">
        <f>(1000/'[1]Figure 1'!G29)</f>
        <v>56.274620146314014</v>
      </c>
    </row>
    <row r="30" spans="1:1" x14ac:dyDescent="0.25">
      <c r="A30">
        <f>(1000/'[1]Figure 1'!G30)</f>
        <v>49.751243781094523</v>
      </c>
    </row>
    <row r="31" spans="1:1" x14ac:dyDescent="0.25">
      <c r="A31">
        <f>(1000/'[1]Figure 1'!G31)</f>
        <v>46.339202965708992</v>
      </c>
    </row>
    <row r="32" spans="1:1" x14ac:dyDescent="0.25">
      <c r="A32">
        <f>(1000/'[1]Figure 1'!G32)</f>
        <v>55.279159756771698</v>
      </c>
    </row>
    <row r="33" spans="1:1" x14ac:dyDescent="0.25">
      <c r="A33">
        <f>(1000/'[1]Figure 1'!G33)</f>
        <v>52.029136316337151</v>
      </c>
    </row>
    <row r="34" spans="1:1" x14ac:dyDescent="0.25">
      <c r="A34">
        <f>(1000/'[1]Figure 1'!G34)</f>
        <v>54.794520547945204</v>
      </c>
    </row>
    <row r="35" spans="1:1" x14ac:dyDescent="0.25">
      <c r="A35">
        <f>(1000/'[1]Figure 1'!G35)</f>
        <v>50.175614651279481</v>
      </c>
    </row>
    <row r="36" spans="1:1" x14ac:dyDescent="0.25">
      <c r="A36">
        <f>(1000/'[1]Figure 1'!G36)</f>
        <v>46.728971962616825</v>
      </c>
    </row>
    <row r="37" spans="1:1" x14ac:dyDescent="0.25">
      <c r="A37">
        <f>(1000/'[1]Figure 1'!G37)</f>
        <v>53.106744556558688</v>
      </c>
    </row>
    <row r="38" spans="1:1" x14ac:dyDescent="0.25">
      <c r="A38">
        <f>(1000/'[1]Figure 1'!G38)</f>
        <v>55.741360089186173</v>
      </c>
    </row>
    <row r="39" spans="1:1" x14ac:dyDescent="0.25">
      <c r="A39">
        <f>(1000/'[1]Figure 1'!G39)</f>
        <v>52.465897166841557</v>
      </c>
    </row>
    <row r="40" spans="1:1" x14ac:dyDescent="0.25">
      <c r="A40">
        <f>(1000/'[1]Figure 1'!G40)</f>
        <v>55.248618784530379</v>
      </c>
    </row>
    <row r="41" spans="1:1" x14ac:dyDescent="0.25">
      <c r="A41">
        <f>(1000/'[1]Figure 1'!G41)</f>
        <v>50.581689428426913</v>
      </c>
    </row>
    <row r="42" spans="1:1" x14ac:dyDescent="0.25">
      <c r="A42">
        <f>(1000/'[1]Figure 1'!G42)</f>
        <v>47.103155911446066</v>
      </c>
    </row>
    <row r="43" spans="1:1" x14ac:dyDescent="0.25">
      <c r="A43">
        <f>(1000/'[1]Figure 1'!G43)</f>
        <v>53.561863952865558</v>
      </c>
    </row>
    <row r="44" spans="1:1" x14ac:dyDescent="0.25">
      <c r="A44">
        <f>(1000/'[1]Figure 1'!G44)</f>
        <v>56.211354693648119</v>
      </c>
    </row>
    <row r="45" spans="1:1" x14ac:dyDescent="0.25">
      <c r="A45">
        <f>(1000/'[1]Figure 1'!G45)</f>
        <v>52.882072977260705</v>
      </c>
    </row>
    <row r="46" spans="1:1" x14ac:dyDescent="0.25">
      <c r="A46">
        <f>(1000/'[1]Figure 1'!G46)</f>
        <v>55.710306406685241</v>
      </c>
    </row>
    <row r="47" spans="1:1" x14ac:dyDescent="0.25">
      <c r="A47">
        <f>(1000/'[1]Figure 1'!G47)</f>
        <v>50.994390617032131</v>
      </c>
    </row>
    <row r="48" spans="1:1" x14ac:dyDescent="0.25">
      <c r="A48">
        <f>(1000/'[1]Figure 1'!G48)</f>
        <v>47.505938242280287</v>
      </c>
    </row>
    <row r="49" spans="1:1" x14ac:dyDescent="0.25">
      <c r="A49">
        <f>(1000/'[1]Figure 1'!G49)</f>
        <v>53.995680345572353</v>
      </c>
    </row>
    <row r="50" spans="1:1" x14ac:dyDescent="0.25">
      <c r="A50">
        <f>(1000/'[1]Figure 1'!G50)</f>
        <v>53.333333333333336</v>
      </c>
    </row>
    <row r="51" spans="1:1" x14ac:dyDescent="0.25">
      <c r="A51">
        <f>(1000/'[1]Figure 1'!G51)</f>
        <v>56.179775280898873</v>
      </c>
    </row>
    <row r="52" spans="1:1" x14ac:dyDescent="0.25">
      <c r="A52">
        <f>(1000/'[1]Figure 1'!G52)</f>
        <v>51.440329218106996</v>
      </c>
    </row>
    <row r="53" spans="1:1" x14ac:dyDescent="0.25">
      <c r="A53">
        <f>(1000/'[1]Figure 1'!G53)</f>
        <v>55.463117027176921</v>
      </c>
    </row>
    <row r="54" spans="1:1" x14ac:dyDescent="0.25">
      <c r="A54">
        <f>(1000/'[1]Figure 1'!G54)</f>
        <v>47.892720306513411</v>
      </c>
    </row>
    <row r="55" spans="1:1" x14ac:dyDescent="0.25">
      <c r="A55">
        <f>(1000/'[1]Figure 1'!G55)</f>
        <v>54.466230936819173</v>
      </c>
    </row>
    <row r="56" spans="1:1" x14ac:dyDescent="0.25">
      <c r="A56">
        <f>(1000/'[1]Figure 1'!G56)</f>
        <v>53.792361484669179</v>
      </c>
    </row>
    <row r="57" spans="1:1" x14ac:dyDescent="0.25">
      <c r="A57">
        <f>(1000/'[1]Figure 1'!G57)</f>
        <v>56.625141562853905</v>
      </c>
    </row>
    <row r="58" spans="1:1" x14ac:dyDescent="0.25">
      <c r="A58">
        <f>(1000/'[1]Figure 1'!G58)</f>
        <v>54.229934924078087</v>
      </c>
    </row>
    <row r="59" spans="1:1" x14ac:dyDescent="0.25">
      <c r="A59">
        <f>(1000/'[1]Figure 1'!G59)</f>
        <v>55.928411633109626</v>
      </c>
    </row>
    <row r="60" spans="1:1" x14ac:dyDescent="0.25">
      <c r="A60">
        <f>(1000/'[1]Figure 1'!G60)</f>
        <v>48.309178743961354</v>
      </c>
    </row>
    <row r="61" spans="1:1" x14ac:dyDescent="0.25">
      <c r="A61">
        <f>(1000/'[1]Figure 1'!G61)</f>
        <v>54.914881933003841</v>
      </c>
    </row>
    <row r="62" spans="1:1" x14ac:dyDescent="0.25">
      <c r="A62">
        <f>(1000/'[1]Figure 1'!G62)</f>
        <v>45.766590389016017</v>
      </c>
    </row>
    <row r="63" spans="1:1" x14ac:dyDescent="0.25">
      <c r="A63">
        <f>(1000/'[1]Figure 1'!G63)</f>
        <v>57.110222729868639</v>
      </c>
    </row>
    <row r="64" spans="1:1" x14ac:dyDescent="0.25">
      <c r="A64">
        <f>(1000/'[1]Figure 1'!G64)</f>
        <v>54.704595185995622</v>
      </c>
    </row>
    <row r="65" spans="1:1" x14ac:dyDescent="0.25">
      <c r="A65">
        <f>(1000/'[1]Figure 1'!G65)</f>
        <v>56.401579244218837</v>
      </c>
    </row>
    <row r="66" spans="1:1" x14ac:dyDescent="0.25">
      <c r="A66">
        <f>(1000/'[1]Figure 1'!G66)</f>
        <v>48.709206039941549</v>
      </c>
    </row>
    <row r="67" spans="1:1" x14ac:dyDescent="0.25">
      <c r="A67">
        <f>(1000/'[1]Figure 1'!G67)</f>
        <v>46.146746654360861</v>
      </c>
    </row>
    <row r="68" spans="1:1" x14ac:dyDescent="0.25">
      <c r="A68">
        <f>(1000/'[1]Figure 1'!G68)</f>
        <v>57.603686635944705</v>
      </c>
    </row>
    <row r="69" spans="1:1" x14ac:dyDescent="0.25">
      <c r="A69">
        <f>(1000/'[1]Figure 1'!G69)</f>
        <v>55.187637969094922</v>
      </c>
    </row>
    <row r="70" spans="1:1" x14ac:dyDescent="0.25">
      <c r="A70">
        <f>(1000/'[1]Figure 1'!G70)</f>
        <v>56.882821387940851</v>
      </c>
    </row>
    <row r="71" spans="1:1" x14ac:dyDescent="0.25">
      <c r="A71">
        <f>(1000/'[1]Figure 1'!G71)</f>
        <v>49.140049140049136</v>
      </c>
    </row>
    <row r="72" spans="1:1" x14ac:dyDescent="0.25">
      <c r="A72">
        <f>(1000/'[1]Figure 1'!G72)</f>
        <v>46.554934823091244</v>
      </c>
    </row>
    <row r="73" spans="1:1" x14ac:dyDescent="0.25">
      <c r="A73">
        <f>(1000/'[1]Figure 1'!G73)</f>
        <v>55.648302726766836</v>
      </c>
    </row>
    <row r="74" spans="1:1" x14ac:dyDescent="0.25">
      <c r="A74">
        <f>(1000/'[1]Figure 1'!G74)</f>
        <v>57.405281285878296</v>
      </c>
    </row>
    <row r="75" spans="1:1" x14ac:dyDescent="0.25">
      <c r="A75">
        <f>(1000/'[1]Figure 1'!G75)</f>
        <v>49.554013875123886</v>
      </c>
    </row>
    <row r="76" spans="1:1" x14ac:dyDescent="0.25">
      <c r="A76">
        <f>(1000/'[1]Figure 1'!G76)</f>
        <v>46.948356807511736</v>
      </c>
    </row>
    <row r="77" spans="1:1" x14ac:dyDescent="0.25">
      <c r="A77">
        <f>(1000/'[1]Figure 1'!G77)</f>
        <v>56.148231330713088</v>
      </c>
    </row>
    <row r="78" spans="1:1" x14ac:dyDescent="0.25">
      <c r="A78">
        <f>(1000/'[1]Figure 1'!G78)</f>
        <v>56.148231330713088</v>
      </c>
    </row>
    <row r="79" spans="1:1" x14ac:dyDescent="0.25">
      <c r="A79">
        <f>(1000/'[1]Figure 1'!G79)</f>
        <v>50</v>
      </c>
    </row>
    <row r="80" spans="1:1" x14ac:dyDescent="0.25">
      <c r="A80">
        <f>(1000/'[1]Figure 1'!G80)</f>
        <v>47.370914258645193</v>
      </c>
    </row>
    <row r="81" spans="1:1" x14ac:dyDescent="0.25">
      <c r="A81">
        <f>(1000/'[1]Figure 1'!G81)</f>
        <v>56.625141562853905</v>
      </c>
    </row>
    <row r="82" spans="1:1" x14ac:dyDescent="0.25">
      <c r="A82">
        <f>(1000/'[1]Figure 1'!G82)</f>
        <v>50.454086781029261</v>
      </c>
    </row>
    <row r="83" spans="1:1" x14ac:dyDescent="0.25">
      <c r="A83">
        <f>(1000/'[1]Figure 1'!G83)</f>
        <v>57.142857142857146</v>
      </c>
    </row>
    <row r="84" spans="1:1" x14ac:dyDescent="0.25">
      <c r="A84">
        <f>(1000/'[1]Figure 1'!G84)</f>
        <v>50.890585241730285</v>
      </c>
    </row>
    <row r="85" spans="1:1" x14ac:dyDescent="0.25">
      <c r="A85">
        <f>(1000/'[1]Figure 1'!G85)</f>
        <v>57.670126874279127</v>
      </c>
    </row>
    <row r="86" spans="1:1" x14ac:dyDescent="0.25">
      <c r="A86">
        <f>(1000/'[1]Figure 1'!G86)</f>
        <v>58.173356602675973</v>
      </c>
    </row>
    <row r="87" spans="1:1" x14ac:dyDescent="0.25">
      <c r="A87">
        <f>(1000/'[1]Figure 1'!G87)</f>
        <v>46.533271288971619</v>
      </c>
    </row>
    <row r="88" spans="1:1" x14ac:dyDescent="0.25">
      <c r="A88">
        <f>(1000/'[1]Figure 1'!G88)</f>
        <v>46.992481203007515</v>
      </c>
    </row>
    <row r="89" spans="1:1" x14ac:dyDescent="0.25">
      <c r="A89">
        <f>(1000/'[1]Figure 1'!G89)</f>
        <v>48.496605237633361</v>
      </c>
    </row>
    <row r="90" spans="1:1" x14ac:dyDescent="0.25">
      <c r="A90">
        <f>(1000/'[1]Figure 1'!G90)</f>
        <v>47.483380816714153</v>
      </c>
    </row>
    <row r="91" spans="1:1" x14ac:dyDescent="0.25">
      <c r="A91">
        <f>(1000/'[1]Figure 1'!G91)</f>
        <v>48.97159647404505</v>
      </c>
    </row>
    <row r="92" spans="1:1" x14ac:dyDescent="0.25">
      <c r="A92">
        <f>(1000/'[1]Figure 1'!G92)</f>
        <v>48.97159647404505</v>
      </c>
    </row>
    <row r="93" spans="1:1" x14ac:dyDescent="0.25">
      <c r="A93">
        <f>(1000/'[1]Figure 1'!G93)</f>
        <v>49.382716049382715</v>
      </c>
    </row>
    <row r="94" spans="1:1" x14ac:dyDescent="0.25">
      <c r="A94">
        <f>(1000/'[1]Figure 1'!G94)</f>
        <v>47.961630695443645</v>
      </c>
    </row>
    <row r="95" spans="1:1" x14ac:dyDescent="0.25">
      <c r="A95">
        <f>(1000/'[1]Figure 1'!G95)</f>
        <v>49.480455220188027</v>
      </c>
    </row>
    <row r="96" spans="1:1" x14ac:dyDescent="0.25">
      <c r="A96">
        <f>(1000/'[1]Figure 1'!G96)</f>
        <v>49.480455220188027</v>
      </c>
    </row>
    <row r="97" spans="1:1" x14ac:dyDescent="0.25">
      <c r="A97">
        <f>(1000/'[1]Figure 1'!G97)</f>
        <v>49.900199600798402</v>
      </c>
    </row>
    <row r="98" spans="1:1" x14ac:dyDescent="0.25">
      <c r="A98">
        <f>(1000/'[1]Figure 1'!G98)</f>
        <v>48.449612403100772</v>
      </c>
    </row>
    <row r="99" spans="1:1" x14ac:dyDescent="0.25">
      <c r="A99">
        <f>(1000/'[1]Figure 1'!G99)</f>
        <v>50</v>
      </c>
    </row>
    <row r="100" spans="1:1" x14ac:dyDescent="0.25">
      <c r="A100">
        <f>(1000/'[1]Figure 1'!G100)</f>
        <v>50</v>
      </c>
    </row>
    <row r="101" spans="1:1" x14ac:dyDescent="0.25">
      <c r="A101">
        <f>(1000/'[1]Figure 1'!G101)</f>
        <v>46.882325363338026</v>
      </c>
    </row>
    <row r="102" spans="1:1" x14ac:dyDescent="0.25">
      <c r="A102">
        <f>(1000/'[1]Figure 1'!G102)</f>
        <v>46.882325363338026</v>
      </c>
    </row>
    <row r="103" spans="1:1" x14ac:dyDescent="0.25">
      <c r="A103">
        <f>(1000/'[1]Figure 1'!G103)</f>
        <v>48.947626040137052</v>
      </c>
    </row>
    <row r="104" spans="1:1" x14ac:dyDescent="0.25">
      <c r="A104">
        <f>(1000/'[1]Figure 1'!G104)</f>
        <v>50.530570995452251</v>
      </c>
    </row>
    <row r="105" spans="1:1" x14ac:dyDescent="0.25">
      <c r="A105">
        <f>(1000/'[1]Figure 1'!G105)</f>
        <v>50.530570995452251</v>
      </c>
    </row>
    <row r="106" spans="1:1" x14ac:dyDescent="0.25">
      <c r="A106">
        <f>(1000/'[1]Figure 1'!G106)</f>
        <v>47.370914258645193</v>
      </c>
    </row>
    <row r="107" spans="1:1" x14ac:dyDescent="0.25">
      <c r="A107">
        <f>(1000/'[1]Figure 1'!G107)</f>
        <v>47.370914258645193</v>
      </c>
    </row>
    <row r="108" spans="1:1" x14ac:dyDescent="0.25">
      <c r="A108">
        <f>(1000/'[1]Figure 1'!G108)</f>
        <v>49.480455220188027</v>
      </c>
    </row>
    <row r="109" spans="1:1" x14ac:dyDescent="0.25">
      <c r="A109">
        <f>(1000/'[1]Figure 1'!G109)</f>
        <v>51.493305870236867</v>
      </c>
    </row>
    <row r="110" spans="1:1" x14ac:dyDescent="0.25">
      <c r="A110">
        <f>(1000/'[1]Figure 1'!G110)</f>
        <v>51.493305870236867</v>
      </c>
    </row>
    <row r="111" spans="1:1" x14ac:dyDescent="0.25">
      <c r="A111">
        <f>(1000/'[1]Figure 1'!G111)</f>
        <v>51.072522982635348</v>
      </c>
    </row>
    <row r="112" spans="1:1" x14ac:dyDescent="0.25">
      <c r="A112">
        <f>(1000/'[1]Figure 1'!G112)</f>
        <v>47.86979415988511</v>
      </c>
    </row>
    <row r="113" spans="1:1" x14ac:dyDescent="0.25">
      <c r="A113">
        <f>(1000/'[1]Figure 1'!G113)</f>
        <v>47.86979415988511</v>
      </c>
    </row>
    <row r="114" spans="1:1" x14ac:dyDescent="0.25">
      <c r="A114">
        <f>(1000/'[1]Figure 1'!G114)</f>
        <v>52.05622071837584</v>
      </c>
    </row>
    <row r="115" spans="1:1" x14ac:dyDescent="0.25">
      <c r="A115">
        <f>(1000/'[1]Figure 1'!G115)</f>
        <v>52.05622071837584</v>
      </c>
    </row>
    <row r="116" spans="1:1" x14ac:dyDescent="0.25">
      <c r="A116">
        <f>(1000/'[1]Figure 1'!G116)</f>
        <v>48.379293662312527</v>
      </c>
    </row>
    <row r="117" spans="1:1" x14ac:dyDescent="0.25">
      <c r="A117">
        <f>(1000/'[1]Figure 1'!G117)</f>
        <v>48.379293662312527</v>
      </c>
    </row>
    <row r="118" spans="1:1" x14ac:dyDescent="0.25">
      <c r="A118">
        <f>(1000/'[1]Figure 1'!G118)</f>
        <v>53.763440860215049</v>
      </c>
    </row>
    <row r="119" spans="1:1" x14ac:dyDescent="0.25">
      <c r="A119">
        <f>(1000/'[1]Figure 1'!G119)</f>
        <v>52.603892688058913</v>
      </c>
    </row>
    <row r="120" spans="1:1" x14ac:dyDescent="0.25">
      <c r="A120">
        <f>(1000/'[1]Figure 1'!G120)</f>
        <v>48.923679060665357</v>
      </c>
    </row>
    <row r="121" spans="1:1" x14ac:dyDescent="0.25">
      <c r="A121">
        <f>(1000/'[1]Figure 1'!G121)</f>
        <v>48.923679060665357</v>
      </c>
    </row>
    <row r="122" spans="1:1" x14ac:dyDescent="0.25">
      <c r="A122">
        <f>(1000/'[1]Figure 1'!G122)</f>
        <v>54.347826086956523</v>
      </c>
    </row>
    <row r="123" spans="1:1" x14ac:dyDescent="0.25">
      <c r="A123">
        <f>(1000/'[1]Figure 1'!G123)</f>
        <v>53.191489361702125</v>
      </c>
    </row>
    <row r="124" spans="1:1" x14ac:dyDescent="0.25">
      <c r="A124">
        <f>(1000/'[1]Figure 1'!G124)</f>
        <v>46.146746654360861</v>
      </c>
    </row>
    <row r="125" spans="1:1" x14ac:dyDescent="0.25">
      <c r="A125">
        <f>(1000/'[1]Figure 1'!G125)</f>
        <v>54.945054945054949</v>
      </c>
    </row>
    <row r="126" spans="1:1" x14ac:dyDescent="0.25">
      <c r="A126">
        <f>(1000/'[1]Figure 1'!G126)</f>
        <v>54.945054945054949</v>
      </c>
    </row>
    <row r="127" spans="1:1" x14ac:dyDescent="0.25">
      <c r="A127">
        <f>(1000/'[1]Figure 1'!G127)</f>
        <v>53.763440860215049</v>
      </c>
    </row>
    <row r="128" spans="1:1" x14ac:dyDescent="0.25">
      <c r="A128">
        <f>(1000/'[1]Figure 1'!G128)</f>
        <v>48.899755501222494</v>
      </c>
    </row>
    <row r="129" spans="1:1" x14ac:dyDescent="0.25">
      <c r="A129">
        <f>(1000/'[1]Figure 1'!G129)</f>
        <v>46.663555762949137</v>
      </c>
    </row>
    <row r="130" spans="1:1" x14ac:dyDescent="0.25">
      <c r="A130">
        <f>(1000/'[1]Figure 1'!G130)</f>
        <v>55.555555555555557</v>
      </c>
    </row>
    <row r="131" spans="1:1" x14ac:dyDescent="0.25">
      <c r="A131">
        <f>(1000/'[1]Figure 1'!G131)</f>
        <v>55.555555555555557</v>
      </c>
    </row>
    <row r="132" spans="1:1" x14ac:dyDescent="0.25">
      <c r="A132">
        <f>(1000/'[1]Figure 1'!G132)</f>
        <v>49.431537320810676</v>
      </c>
    </row>
    <row r="133" spans="1:1" x14ac:dyDescent="0.25">
      <c r="A133">
        <f>(1000/'[1]Figure 1'!G133)</f>
        <v>49.431537320810676</v>
      </c>
    </row>
    <row r="134" spans="1:1" x14ac:dyDescent="0.25">
      <c r="A134">
        <f>(1000/'[1]Figure 1'!G134)</f>
        <v>49.431537320810676</v>
      </c>
    </row>
    <row r="135" spans="1:1" x14ac:dyDescent="0.25">
      <c r="A135">
        <f>(1000/'[1]Figure 1'!G135)</f>
        <v>49.431537320810676</v>
      </c>
    </row>
    <row r="136" spans="1:1" x14ac:dyDescent="0.25">
      <c r="A136">
        <f>(1000/'[1]Figure 1'!G136)</f>
        <v>47.192071731949028</v>
      </c>
    </row>
    <row r="137" spans="1:1" x14ac:dyDescent="0.25">
      <c r="A137">
        <f>(1000/'[1]Figure 1'!G137)</f>
        <v>47.192071731949028</v>
      </c>
    </row>
    <row r="138" spans="1:1" x14ac:dyDescent="0.25">
      <c r="A138">
        <f>(1000/'[1]Figure 1'!G138)</f>
        <v>56.179775280898873</v>
      </c>
    </row>
    <row r="139" spans="1:1" x14ac:dyDescent="0.25">
      <c r="A139">
        <f>(1000/'[1]Figure 1'!G139)</f>
        <v>56.179775280898873</v>
      </c>
    </row>
    <row r="140" spans="1:1" x14ac:dyDescent="0.25">
      <c r="A140">
        <f>(1000/'[1]Figure 1'!G140)</f>
        <v>50</v>
      </c>
    </row>
    <row r="141" spans="1:1" x14ac:dyDescent="0.25">
      <c r="A141">
        <f>(1000/'[1]Figure 1'!G141)</f>
        <v>50</v>
      </c>
    </row>
    <row r="142" spans="1:1" x14ac:dyDescent="0.25">
      <c r="A142">
        <f>(1000/'[1]Figure 1'!G142)</f>
        <v>50</v>
      </c>
    </row>
    <row r="143" spans="1:1" x14ac:dyDescent="0.25">
      <c r="A143">
        <f>(1000/'[1]Figure 1'!G143)</f>
        <v>50</v>
      </c>
    </row>
    <row r="144" spans="1:1" x14ac:dyDescent="0.25">
      <c r="A144">
        <f>(1000/'[1]Figure 1'!G144)</f>
        <v>50</v>
      </c>
    </row>
    <row r="145" spans="1:1" x14ac:dyDescent="0.25">
      <c r="A145">
        <f>(1000/'[1]Figure 1'!G145)</f>
        <v>50</v>
      </c>
    </row>
    <row r="146" spans="1:1" x14ac:dyDescent="0.25">
      <c r="A146">
        <f>(1000/'[1]Figure 1'!G146)</f>
        <v>47.732696897374701</v>
      </c>
    </row>
    <row r="147" spans="1:1" x14ac:dyDescent="0.25">
      <c r="A147">
        <f>(1000/'[1]Figure 1'!G147)</f>
        <v>47.732696897374701</v>
      </c>
    </row>
    <row r="148" spans="1:1" x14ac:dyDescent="0.25">
      <c r="A148">
        <f>(1000/'[1]Figure 1'!G148)</f>
        <v>56.818181818181813</v>
      </c>
    </row>
    <row r="149" spans="1:1" x14ac:dyDescent="0.25">
      <c r="A149">
        <f>(1000/'[1]Figure 1'!G149)</f>
        <v>56.818181818181813</v>
      </c>
    </row>
    <row r="150" spans="1:1" x14ac:dyDescent="0.25">
      <c r="A150">
        <f>(1000/'[1]Figure 1'!G150)</f>
        <v>50.581689428426913</v>
      </c>
    </row>
    <row r="151" spans="1:1" x14ac:dyDescent="0.25">
      <c r="A151">
        <f>(1000/'[1]Figure 1'!G151)</f>
        <v>50.581689428426913</v>
      </c>
    </row>
    <row r="152" spans="1:1" x14ac:dyDescent="0.25">
      <c r="A152">
        <f>(1000/'[1]Figure 1'!G152)</f>
        <v>50.581689428426913</v>
      </c>
    </row>
    <row r="153" spans="1:1" x14ac:dyDescent="0.25">
      <c r="A153">
        <f>(1000/'[1]Figure 1'!G153)</f>
        <v>50.581689428426913</v>
      </c>
    </row>
    <row r="154" spans="1:1" x14ac:dyDescent="0.25">
      <c r="A154">
        <f>(1000/'[1]Figure 1'!G154)</f>
        <v>50.581689428426913</v>
      </c>
    </row>
    <row r="155" spans="1:1" x14ac:dyDescent="0.25">
      <c r="A155">
        <f>(1000/'[1]Figure 1'!G155)</f>
        <v>50.581689428426913</v>
      </c>
    </row>
    <row r="156" spans="1:1" x14ac:dyDescent="0.25">
      <c r="A156">
        <f>(1000/'[1]Figure 1'!G156)</f>
        <v>50.581689428426913</v>
      </c>
    </row>
    <row r="157" spans="1:1" x14ac:dyDescent="0.25">
      <c r="A157">
        <f>(1000/'[1]Figure 1'!G157)</f>
        <v>50.581689428426913</v>
      </c>
    </row>
    <row r="158" spans="1:1" x14ac:dyDescent="0.25">
      <c r="A158">
        <f>(1000/'[1]Figure 1'!G158)</f>
        <v>48.285852245292126</v>
      </c>
    </row>
    <row r="159" spans="1:1" x14ac:dyDescent="0.25">
      <c r="A159">
        <f>(1000/'[1]Figure 1'!G159)</f>
        <v>48.285852245292126</v>
      </c>
    </row>
    <row r="160" spans="1:1" x14ac:dyDescent="0.25">
      <c r="A160">
        <f>(1000/'[1]Figure 1'!G160)</f>
        <v>57.471264367816097</v>
      </c>
    </row>
    <row r="161" spans="1:1" x14ac:dyDescent="0.25">
      <c r="A161">
        <f>(1000/'[1]Figure 1'!G161)</f>
        <v>51.150895140664957</v>
      </c>
    </row>
    <row r="162" spans="1:1" x14ac:dyDescent="0.25">
      <c r="A162">
        <f>(1000/'[1]Figure 1'!G162)</f>
        <v>51.150895140664957</v>
      </c>
    </row>
    <row r="163" spans="1:1" x14ac:dyDescent="0.25">
      <c r="A163">
        <f>(1000/'[1]Figure 1'!G163)</f>
        <v>51.150895140664957</v>
      </c>
    </row>
    <row r="164" spans="1:1" x14ac:dyDescent="0.25">
      <c r="A164">
        <f>(1000/'[1]Figure 1'!G164)</f>
        <v>51.150895140664957</v>
      </c>
    </row>
    <row r="165" spans="1:1" x14ac:dyDescent="0.25">
      <c r="A165">
        <f>(1000/'[1]Figure 1'!G165)</f>
        <v>51.150895140664957</v>
      </c>
    </row>
    <row r="166" spans="1:1" x14ac:dyDescent="0.25">
      <c r="A166">
        <f>(1000/'[1]Figure 1'!G166)</f>
        <v>51.150895140664957</v>
      </c>
    </row>
    <row r="167" spans="1:1" x14ac:dyDescent="0.25">
      <c r="A167">
        <f>(1000/'[1]Figure 1'!G167)</f>
        <v>51.150895140664957</v>
      </c>
    </row>
    <row r="168" spans="1:1" x14ac:dyDescent="0.25">
      <c r="A168">
        <f>(1000/'[1]Figure 1'!G168)</f>
        <v>51.150895140664957</v>
      </c>
    </row>
    <row r="169" spans="1:1" x14ac:dyDescent="0.25">
      <c r="A169">
        <f>(1000/'[1]Figure 1'!G169)</f>
        <v>51.150895140664957</v>
      </c>
    </row>
    <row r="170" spans="1:1" x14ac:dyDescent="0.25">
      <c r="A170">
        <f>(1000/'[1]Figure 1'!G170)</f>
        <v>48.828125</v>
      </c>
    </row>
    <row r="171" spans="1:1" x14ac:dyDescent="0.25">
      <c r="A171">
        <f>(1000/'[1]Figure 1'!G171)</f>
        <v>48.828125</v>
      </c>
    </row>
    <row r="172" spans="1:1" x14ac:dyDescent="0.25">
      <c r="A172">
        <f>(1000/'[1]Figure 1'!G172)</f>
        <v>51.759834368530022</v>
      </c>
    </row>
    <row r="173" spans="1:1" x14ac:dyDescent="0.25">
      <c r="A173">
        <f>(1000/'[1]Figure 1'!G173)</f>
        <v>51.759834368530022</v>
      </c>
    </row>
    <row r="174" spans="1:1" x14ac:dyDescent="0.25">
      <c r="A174">
        <f>(1000/'[1]Figure 1'!G174)</f>
        <v>51.759834368530022</v>
      </c>
    </row>
    <row r="175" spans="1:1" x14ac:dyDescent="0.25">
      <c r="A175">
        <f>(1000/'[1]Figure 1'!G175)</f>
        <v>51.759834368530022</v>
      </c>
    </row>
    <row r="176" spans="1:1" x14ac:dyDescent="0.25">
      <c r="A176">
        <f>(1000/'[1]Figure 1'!G176)</f>
        <v>51.759834368530022</v>
      </c>
    </row>
    <row r="177" spans="1:1" x14ac:dyDescent="0.25">
      <c r="A177">
        <f>(1000/'[1]Figure 1'!G177)</f>
        <v>51.759834368530022</v>
      </c>
    </row>
    <row r="178" spans="1:1" x14ac:dyDescent="0.25">
      <c r="A178">
        <f>(1000/'[1]Figure 1'!G178)</f>
        <v>51.759834368530022</v>
      </c>
    </row>
    <row r="179" spans="1:1" x14ac:dyDescent="0.25">
      <c r="A179">
        <f>(1000/'[1]Figure 1'!G179)</f>
        <v>51.759834368530022</v>
      </c>
    </row>
    <row r="180" spans="1:1" x14ac:dyDescent="0.25">
      <c r="A180">
        <f>(1000/'[1]Figure 1'!G180)</f>
        <v>49.40711462450593</v>
      </c>
    </row>
    <row r="181" spans="1:1" x14ac:dyDescent="0.25">
      <c r="A181">
        <f>(1000/'[1]Figure 1'!G181)</f>
        <v>49.40711462450593</v>
      </c>
    </row>
    <row r="182" spans="1:1" x14ac:dyDescent="0.25">
      <c r="A182">
        <f>(1000/'[1]Figure 1'!G182)</f>
        <v>52.383446830801468</v>
      </c>
    </row>
    <row r="183" spans="1:1" x14ac:dyDescent="0.25">
      <c r="A183">
        <f>(1000/'[1]Figure 1'!G183)</f>
        <v>52.383446830801468</v>
      </c>
    </row>
    <row r="184" spans="1:1" x14ac:dyDescent="0.25">
      <c r="A184">
        <f>(1000/'[1]Figure 1'!G184)</f>
        <v>52.383446830801468</v>
      </c>
    </row>
    <row r="185" spans="1:1" x14ac:dyDescent="0.25">
      <c r="A185">
        <f>(1000/'[1]Figure 1'!G185)</f>
        <v>52.383446830801468</v>
      </c>
    </row>
    <row r="186" spans="1:1" x14ac:dyDescent="0.25">
      <c r="A186">
        <f>(1000/'[1]Figure 1'!G186)</f>
        <v>52.383446830801468</v>
      </c>
    </row>
    <row r="187" spans="1:1" x14ac:dyDescent="0.25">
      <c r="A187">
        <f>(1000/'[1]Figure 1'!G187)</f>
        <v>52.383446830801468</v>
      </c>
    </row>
    <row r="188" spans="1:1" x14ac:dyDescent="0.25">
      <c r="A188">
        <f>(1000/'[1]Figure 1'!G188)</f>
        <v>50</v>
      </c>
    </row>
    <row r="189" spans="1:1" x14ac:dyDescent="0.25">
      <c r="A189">
        <f>(1000/'[1]Figure 1'!G189)</f>
        <v>53.022269353128316</v>
      </c>
    </row>
    <row r="190" spans="1:1" x14ac:dyDescent="0.25">
      <c r="A190">
        <f>(1000/'[1]Figure 1'!G190)</f>
        <v>53.022269353128316</v>
      </c>
    </row>
    <row r="191" spans="1:1" x14ac:dyDescent="0.25">
      <c r="A191">
        <f>(1000/'[1]Figure 1'!G191)</f>
        <v>53.022269353128316</v>
      </c>
    </row>
    <row r="192" spans="1:1" x14ac:dyDescent="0.25">
      <c r="A192">
        <f>(1000/'[1]Figure 1'!G192)</f>
        <v>53.022269353128316</v>
      </c>
    </row>
    <row r="193" spans="1:1" x14ac:dyDescent="0.25">
      <c r="A193">
        <f>(1000/'[1]Figure 1'!G193)</f>
        <v>53.022269353128316</v>
      </c>
    </row>
    <row r="194" spans="1:1" x14ac:dyDescent="0.25">
      <c r="A194">
        <f>(1000/'[1]Figure 1'!G194)</f>
        <v>50.607287449392707</v>
      </c>
    </row>
    <row r="195" spans="1:1" x14ac:dyDescent="0.25">
      <c r="A195">
        <f>(1000/'[1]Figure 1'!G195)</f>
        <v>53.648068669527895</v>
      </c>
    </row>
    <row r="196" spans="1:1" x14ac:dyDescent="0.25">
      <c r="A196">
        <f>(1000/'[1]Figure 1'!G196)</f>
        <v>53.648068669527895</v>
      </c>
    </row>
    <row r="197" spans="1:1" x14ac:dyDescent="0.25">
      <c r="A197">
        <f>(1000/'[1]Figure 1'!G197)</f>
        <v>53.648068669527895</v>
      </c>
    </row>
    <row r="198" spans="1:1" x14ac:dyDescent="0.25">
      <c r="A198">
        <f>(1000/'[1]Figure 1'!G198)</f>
        <v>54.318305268875612</v>
      </c>
    </row>
    <row r="199" spans="1:1" x14ac:dyDescent="0.25">
      <c r="A199">
        <f>(1000/'[1]Figure 1'!G199)</f>
        <v>54.318305268875612</v>
      </c>
    </row>
    <row r="200" spans="1:1" x14ac:dyDescent="0.25">
      <c r="A200">
        <f>(1000/'[1]Figure 1'!G200)</f>
        <v>54.318305268875612</v>
      </c>
    </row>
    <row r="201" spans="1:1" x14ac:dyDescent="0.25">
      <c r="A201">
        <f>(1000/'[1]Figure 1'!G201)</f>
        <v>55.005500550055004</v>
      </c>
    </row>
    <row r="202" spans="1:1" x14ac:dyDescent="0.25">
      <c r="A202">
        <f>(1000/'[1]Figure 1'!G202)</f>
        <v>55.710306406685241</v>
      </c>
    </row>
    <row r="203" spans="1:1" x14ac:dyDescent="0.25">
      <c r="A203">
        <f>(1000/'[1]Figure 1'!G203)</f>
        <v>55.865921787709503</v>
      </c>
    </row>
    <row r="204" spans="1:1" x14ac:dyDescent="0.25">
      <c r="A204">
        <f>(1000/'[1]Figure 1'!G204)</f>
        <v>51.733057423693744</v>
      </c>
    </row>
    <row r="205" spans="1:1" x14ac:dyDescent="0.25">
      <c r="A205">
        <f>(1000/'[1]Figure 1'!G205)</f>
        <v>56.242969628796395</v>
      </c>
    </row>
    <row r="206" spans="1:1" x14ac:dyDescent="0.25">
      <c r="A206">
        <f>(1000/'[1]Figure 1'!G206)</f>
        <v>52.083333333333336</v>
      </c>
    </row>
    <row r="207" spans="1:1" x14ac:dyDescent="0.25">
      <c r="A207">
        <f>(1000/'[1]Figure 1'!G207)</f>
        <v>56.657223796033996</v>
      </c>
    </row>
    <row r="208" spans="1:1" x14ac:dyDescent="0.25">
      <c r="A208">
        <f>(1000/'[1]Figure 1'!G208)</f>
        <v>52.438384897745152</v>
      </c>
    </row>
    <row r="209" spans="1:1" x14ac:dyDescent="0.25">
      <c r="A209">
        <f>(1000/'[1]Figure 1'!G209)</f>
        <v>57.045065601825435</v>
      </c>
    </row>
    <row r="210" spans="1:1" x14ac:dyDescent="0.25">
      <c r="A210">
        <f>(1000/'[1]Figure 1'!G210)</f>
        <v>52.826201796090864</v>
      </c>
    </row>
    <row r="211" spans="1:1" x14ac:dyDescent="0.25">
      <c r="A211">
        <f>(1000/'[1]Figure 1'!G211)</f>
        <v>57.438253877082133</v>
      </c>
    </row>
    <row r="212" spans="1:1" x14ac:dyDescent="0.25">
      <c r="A212">
        <f>(1000/'[1]Figure 1'!G212)</f>
        <v>53.191489361702125</v>
      </c>
    </row>
    <row r="213" spans="1:1" x14ac:dyDescent="0.25">
      <c r="A213">
        <f>(1000/'[1]Figure 1'!G213)</f>
        <v>57.870370370370367</v>
      </c>
    </row>
    <row r="214" spans="1:1" x14ac:dyDescent="0.25">
      <c r="A214">
        <f>(1000/'[1]Figure 1'!G214)</f>
        <v>53.561863952865558</v>
      </c>
    </row>
    <row r="215" spans="1:1" x14ac:dyDescent="0.25">
      <c r="A215">
        <f>(1000/'[1]Figure 1'!G215)</f>
        <v>56.211354693648119</v>
      </c>
    </row>
    <row r="216" spans="1:1" x14ac:dyDescent="0.25">
      <c r="A216">
        <f>(1000/'[1]Figure 1'!G216)</f>
        <v>53.333333333333336</v>
      </c>
    </row>
    <row r="217" spans="1:1" x14ac:dyDescent="0.25">
      <c r="A217">
        <f>(1000/'[1]Figure 1'!G217)</f>
        <v>56.657223796033996</v>
      </c>
    </row>
    <row r="218" spans="1:1" x14ac:dyDescent="0.25">
      <c r="A218">
        <f>(1000/'[1]Figure 1'!G218)</f>
        <v>53.792361484669179</v>
      </c>
    </row>
    <row r="219" spans="1:1" x14ac:dyDescent="0.25">
      <c r="A219">
        <f>(1000/'[1]Figure 1'!G219)</f>
        <v>57.142857142857146</v>
      </c>
    </row>
    <row r="220" spans="1:1" x14ac:dyDescent="0.25">
      <c r="A220">
        <f>(1000/'[1]Figure 1'!G220)</f>
        <v>54.229934924078087</v>
      </c>
    </row>
    <row r="221" spans="1:1" x14ac:dyDescent="0.25">
      <c r="A221">
        <f>(1000/'[1]Figure 1'!G221)</f>
        <v>57.636887608069159</v>
      </c>
    </row>
    <row r="222" spans="1:1" x14ac:dyDescent="0.25">
      <c r="A222">
        <f>(1000/'[1]Figure 1'!G222)</f>
        <v>54.704595185995622</v>
      </c>
    </row>
    <row r="223" spans="1:1" x14ac:dyDescent="0.25">
      <c r="A223">
        <f>(1000/'[1]Figure 1'!G223)</f>
        <v>58.105752469494476</v>
      </c>
    </row>
    <row r="224" spans="1:1" x14ac:dyDescent="0.25">
      <c r="A224">
        <f>(1000/'[1]Figure 1'!G224)</f>
        <v>55.187637969094922</v>
      </c>
    </row>
    <row r="225" spans="1:1" x14ac:dyDescent="0.25">
      <c r="A225">
        <f>(1000/'[1]Figure 1'!G225)</f>
        <v>58.616647127784297</v>
      </c>
    </row>
    <row r="226" spans="1:1" x14ac:dyDescent="0.25">
      <c r="A226">
        <f>(1000/'[1]Figure 1'!G226)</f>
        <v>52.192066805845513</v>
      </c>
    </row>
    <row r="227" spans="1:1" x14ac:dyDescent="0.25">
      <c r="A227">
        <f>(1000/'[1]Figure 1'!G227)</f>
        <v>52.687038988408851</v>
      </c>
    </row>
    <row r="228" spans="1:1" x14ac:dyDescent="0.25">
      <c r="A228">
        <f>(1000/'[1]Figure 1'!G228)</f>
        <v>52.687038988408851</v>
      </c>
    </row>
    <row r="229" spans="1:1" x14ac:dyDescent="0.25">
      <c r="A229">
        <f>(1000/'[1]Figure 1'!G229)</f>
        <v>53.191489361702125</v>
      </c>
    </row>
    <row r="230" spans="1:1" x14ac:dyDescent="0.25">
      <c r="A230">
        <f>(1000/'[1]Figure 1'!G230)</f>
        <v>53.191489361702125</v>
      </c>
    </row>
    <row r="231" spans="1:1" x14ac:dyDescent="0.25">
      <c r="A231">
        <f>(1000/'[1]Figure 1'!G231)</f>
        <v>53.734551316496507</v>
      </c>
    </row>
    <row r="232" spans="1:1" x14ac:dyDescent="0.25">
      <c r="A232">
        <f>(1000/'[1]Figure 1'!G232)</f>
        <v>53.734551316496507</v>
      </c>
    </row>
    <row r="233" spans="1:1" x14ac:dyDescent="0.25">
      <c r="A233">
        <f>(1000/'[1]Figure 1'!G233)</f>
        <v>54.259359739555073</v>
      </c>
    </row>
    <row r="234" spans="1:1" x14ac:dyDescent="0.25">
      <c r="A234">
        <f>(1000/'[1]Figure 1'!G234)</f>
        <v>54.259359739555073</v>
      </c>
    </row>
    <row r="235" spans="1:1" x14ac:dyDescent="0.25">
      <c r="A235">
        <f>(1000/'[1]Figure 1'!G235)</f>
        <v>54.794520547945204</v>
      </c>
    </row>
    <row r="236" spans="1:1" x14ac:dyDescent="0.25">
      <c r="A236">
        <f>(1000/'[1]Figure 1'!G236)</f>
        <v>54.794520547945204</v>
      </c>
    </row>
    <row r="237" spans="1:1" x14ac:dyDescent="0.25">
      <c r="A237">
        <f>(1000/'[1]Figure 1'!G237)</f>
        <v>55.340343110127279</v>
      </c>
    </row>
    <row r="238" spans="1:1" x14ac:dyDescent="0.25">
      <c r="A238">
        <f>(1000/'[1]Figure 1'!G238)</f>
        <v>57.306590257879655</v>
      </c>
    </row>
    <row r="239" spans="1:1" x14ac:dyDescent="0.25">
      <c r="A239">
        <f>(1000/'[1]Figure 1'!G239)</f>
        <v>57.903879559930516</v>
      </c>
    </row>
    <row r="240" spans="1:1" x14ac:dyDescent="0.25">
      <c r="A240">
        <f>(1000/'[1]Figure 1'!G240)</f>
        <v>55.370985603543744</v>
      </c>
    </row>
    <row r="241" spans="1:1" x14ac:dyDescent="0.25">
      <c r="A241">
        <f>(1000/'[1]Figure 1'!G241)</f>
        <v>58.513750731421887</v>
      </c>
    </row>
    <row r="242" spans="1:1" x14ac:dyDescent="0.25">
      <c r="A242">
        <f>(1000/'[1]Figure 1'!G242)</f>
        <v>55.959709009513148</v>
      </c>
    </row>
    <row r="243" spans="1:1" x14ac:dyDescent="0.25">
      <c r="A243">
        <f>(1000/'[1]Figure 1'!G243)</f>
        <v>47.103155911446066</v>
      </c>
    </row>
    <row r="244" spans="1:1" x14ac:dyDescent="0.25">
      <c r="A244">
        <f>(1000/'[1]Figure 1'!G244)</f>
        <v>59.13660555884092</v>
      </c>
    </row>
    <row r="245" spans="1:1" x14ac:dyDescent="0.25">
      <c r="A245">
        <f>(1000/'[1]Figure 1'!G245)</f>
        <v>56.561085972850677</v>
      </c>
    </row>
    <row r="246" spans="1:1" x14ac:dyDescent="0.25">
      <c r="A246">
        <f>(1000/'[1]Figure 1'!G246)</f>
        <v>47.61904761904762</v>
      </c>
    </row>
    <row r="247" spans="1:1" x14ac:dyDescent="0.25">
      <c r="A247">
        <f>(1000/'[1]Figure 1'!G247)</f>
        <v>59.772863120143455</v>
      </c>
    </row>
    <row r="248" spans="1:1" x14ac:dyDescent="0.25">
      <c r="A248">
        <f>(1000/'[1]Figure 1'!G248)</f>
        <v>57.175528873642087</v>
      </c>
    </row>
    <row r="249" spans="1:1" x14ac:dyDescent="0.25">
      <c r="A249">
        <f>(1000/'[1]Figure 1'!G249)</f>
        <v>47.915668423574509</v>
      </c>
    </row>
    <row r="250" spans="1:1" x14ac:dyDescent="0.25">
      <c r="A250">
        <f>(1000/'[1]Figure 1'!G250)</f>
        <v>48.123195380173243</v>
      </c>
    </row>
    <row r="251" spans="1:1" x14ac:dyDescent="0.25">
      <c r="A251">
        <f>(1000/'[1]Figure 1'!G251)</f>
        <v>57.803468208092482</v>
      </c>
    </row>
    <row r="252" spans="1:1" x14ac:dyDescent="0.25">
      <c r="A252">
        <f>(1000/'[1]Figure 1'!G252)</f>
        <v>47.103155911446066</v>
      </c>
    </row>
    <row r="253" spans="1:1" x14ac:dyDescent="0.25">
      <c r="A253">
        <f>(1000/'[1]Figure 1'!G253)</f>
        <v>53.763440860215049</v>
      </c>
    </row>
    <row r="254" spans="1:1" x14ac:dyDescent="0.25">
      <c r="A254">
        <f>(1000/'[1]Figure 1'!G254)</f>
        <v>48.449612403100772</v>
      </c>
    </row>
    <row r="255" spans="1:1" x14ac:dyDescent="0.25">
      <c r="A255">
        <f>(1000/'[1]Figure 1'!G255)</f>
        <v>48.661800486618006</v>
      </c>
    </row>
    <row r="256" spans="1:1" x14ac:dyDescent="0.25">
      <c r="A256">
        <f>(1000/'[1]Figure 1'!G256)</f>
        <v>47.641734159123395</v>
      </c>
    </row>
    <row r="257" spans="1:1" x14ac:dyDescent="0.25">
      <c r="A257">
        <f>(1000/'[1]Figure 1'!G257)</f>
        <v>54.377379010331701</v>
      </c>
    </row>
    <row r="258" spans="1:1" x14ac:dyDescent="0.25">
      <c r="A258">
        <f>(1000/'[1]Figure 1'!G258)</f>
        <v>49.431537320810676</v>
      </c>
    </row>
    <row r="259" spans="1:1" x14ac:dyDescent="0.25">
      <c r="A259">
        <f>(1000/'[1]Figure 1'!G259)</f>
        <v>48.99559039686428</v>
      </c>
    </row>
    <row r="260" spans="1:1" x14ac:dyDescent="0.25">
      <c r="A260">
        <f>(1000/'[1]Figure 1'!G260)</f>
        <v>49.212598425196852</v>
      </c>
    </row>
    <row r="261" spans="1:1" x14ac:dyDescent="0.25">
      <c r="A261">
        <f>(1000/'[1]Figure 1'!G261)</f>
        <v>48.192771084337352</v>
      </c>
    </row>
    <row r="262" spans="1:1" x14ac:dyDescent="0.25">
      <c r="A262">
        <f>(1000/'[1]Figure 1'!G262)</f>
        <v>55.005500550055004</v>
      </c>
    </row>
    <row r="263" spans="1:1" x14ac:dyDescent="0.25">
      <c r="A263">
        <f>(1000/'[1]Figure 1'!G263)</f>
        <v>48.192771084337352</v>
      </c>
    </row>
    <row r="264" spans="1:1" x14ac:dyDescent="0.25">
      <c r="A264">
        <f>(1000/'[1]Figure 1'!G264)</f>
        <v>55.005500550055004</v>
      </c>
    </row>
    <row r="265" spans="1:1" x14ac:dyDescent="0.25">
      <c r="A265">
        <f>(1000/'[1]Figure 1'!G265)</f>
        <v>50</v>
      </c>
    </row>
    <row r="266" spans="1:1" x14ac:dyDescent="0.25">
      <c r="A266">
        <f>(1000/'[1]Figure 1'!G266)</f>
        <v>49.554013875123886</v>
      </c>
    </row>
    <row r="267" spans="1:1" x14ac:dyDescent="0.25">
      <c r="A267">
        <f>(1000/'[1]Figure 1'!G267)</f>
        <v>49.776007964161273</v>
      </c>
    </row>
    <row r="268" spans="1:1" x14ac:dyDescent="0.25">
      <c r="A268">
        <f>(1000/'[1]Figure 1'!G268)</f>
        <v>48.732943469785575</v>
      </c>
    </row>
    <row r="269" spans="1:1" x14ac:dyDescent="0.25">
      <c r="A269">
        <f>(1000/'[1]Figure 1'!G269)</f>
        <v>55.617352614015573</v>
      </c>
    </row>
    <row r="270" spans="1:1" x14ac:dyDescent="0.25">
      <c r="A270">
        <f>(1000/'[1]Figure 1'!G270)</f>
        <v>48.732943469785575</v>
      </c>
    </row>
    <row r="271" spans="1:1" x14ac:dyDescent="0.25">
      <c r="A271">
        <f>(1000/'[1]Figure 1'!G271)</f>
        <v>55.617352614015573</v>
      </c>
    </row>
    <row r="272" spans="1:1" x14ac:dyDescent="0.25">
      <c r="A272">
        <f>(1000/'[1]Figure 1'!G272)</f>
        <v>50.581689428426913</v>
      </c>
    </row>
    <row r="273" spans="1:1" x14ac:dyDescent="0.25">
      <c r="A273">
        <f>(1000/'[1]Figure 1'!G273)</f>
        <v>50.125313283208023</v>
      </c>
    </row>
    <row r="274" spans="1:1" x14ac:dyDescent="0.25">
      <c r="A274">
        <f>(1000/'[1]Figure 1'!G274)</f>
        <v>49.309664694280073</v>
      </c>
    </row>
    <row r="275" spans="1:1" x14ac:dyDescent="0.25">
      <c r="A275">
        <f>(1000/'[1]Figure 1'!G275)</f>
        <v>56.274620146314014</v>
      </c>
    </row>
    <row r="276" spans="1:1" x14ac:dyDescent="0.25">
      <c r="A276">
        <f>(1000/'[1]Figure 1'!G276)</f>
        <v>49.309664694280073</v>
      </c>
    </row>
    <row r="277" spans="1:1" x14ac:dyDescent="0.25">
      <c r="A277">
        <f>(1000/'[1]Figure 1'!G277)</f>
        <v>56.274620146314014</v>
      </c>
    </row>
    <row r="278" spans="1:1" x14ac:dyDescent="0.25">
      <c r="A278">
        <f>(1000/'[1]Figure 1'!G278)</f>
        <v>51.150895140664957</v>
      </c>
    </row>
    <row r="279" spans="1:1" x14ac:dyDescent="0.25">
      <c r="A279">
        <f>(1000/'[1]Figure 1'!G279)</f>
        <v>50.709939148073026</v>
      </c>
    </row>
    <row r="280" spans="1:1" x14ac:dyDescent="0.25">
      <c r="A280">
        <f>(1000/'[1]Figure 1'!G280)</f>
        <v>49.875311720698249</v>
      </c>
    </row>
    <row r="281" spans="1:1" x14ac:dyDescent="0.25">
      <c r="A281">
        <f>(1000/'[1]Figure 1'!G281)</f>
        <v>56.947608200455583</v>
      </c>
    </row>
    <row r="282" spans="1:1" x14ac:dyDescent="0.25">
      <c r="A282">
        <f>(1000/'[1]Figure 1'!G282)</f>
        <v>51.759834368530022</v>
      </c>
    </row>
    <row r="283" spans="1:1" x14ac:dyDescent="0.25">
      <c r="A283">
        <f>(1000/'[1]Figure 1'!G283)</f>
        <v>50.479555779909141</v>
      </c>
    </row>
    <row r="284" spans="1:1" x14ac:dyDescent="0.25">
      <c r="A284">
        <f>(1000/'[1]Figure 1'!G284)</f>
        <v>57.603686635944705</v>
      </c>
    </row>
    <row r="285" spans="1:1" x14ac:dyDescent="0.25">
      <c r="A285">
        <f>(1000/'[1]Figure 1'!G285)</f>
        <v>48.756704046806433</v>
      </c>
    </row>
    <row r="286" spans="1:1" x14ac:dyDescent="0.25">
      <c r="A286">
        <f>(1000/'[1]Figure 1'!G286)</f>
        <v>58.754406580493537</v>
      </c>
    </row>
    <row r="287" spans="1:1" x14ac:dyDescent="0.25">
      <c r="A287">
        <f>(1000/'[1]Figure 1'!G287)</f>
        <v>58.754406580493537</v>
      </c>
    </row>
    <row r="288" spans="1:1" x14ac:dyDescent="0.25">
      <c r="A288">
        <f>(1000/'[1]Figure 1'!G288)</f>
        <v>49.358341559723591</v>
      </c>
    </row>
    <row r="289" spans="1:1" x14ac:dyDescent="0.25">
      <c r="A289">
        <f>(1000/'[1]Figure 1'!G289)</f>
        <v>59.488399762046406</v>
      </c>
    </row>
    <row r="290" spans="1:1" x14ac:dyDescent="0.25">
      <c r="A290">
        <f>(1000/'[1]Figure 1'!G290)</f>
        <v>59.488399762046406</v>
      </c>
    </row>
    <row r="291" spans="1:1" x14ac:dyDescent="0.25">
      <c r="A291">
        <f>(1000/'[1]Figure 1'!G291)</f>
        <v>56.211354693648119</v>
      </c>
    </row>
    <row r="292" spans="1:1" x14ac:dyDescent="0.25">
      <c r="A292">
        <f>(1000/'[1]Figure 1'!G292)</f>
        <v>50</v>
      </c>
    </row>
    <row r="293" spans="1:1" x14ac:dyDescent="0.25">
      <c r="A293">
        <f>(1000/'[1]Figure 1'!G293)</f>
        <v>60.240963855421683</v>
      </c>
    </row>
    <row r="294" spans="1:1" x14ac:dyDescent="0.25">
      <c r="A294">
        <f>(1000/'[1]Figure 1'!G294)</f>
        <v>60.240963855421683</v>
      </c>
    </row>
    <row r="295" spans="1:1" x14ac:dyDescent="0.25">
      <c r="A295">
        <f>(1000/'[1]Figure 1'!G295)</f>
        <v>56.915196357427433</v>
      </c>
    </row>
    <row r="296" spans="1:1" x14ac:dyDescent="0.25">
      <c r="A296">
        <f>(1000/'[1]Figure 1'!G296)</f>
        <v>50.658561296859176</v>
      </c>
    </row>
    <row r="297" spans="1:1" x14ac:dyDescent="0.25">
      <c r="A297">
        <f>(1000/'[1]Figure 1'!G297)</f>
        <v>61.050061050061053</v>
      </c>
    </row>
    <row r="298" spans="1:1" x14ac:dyDescent="0.25">
      <c r="A298">
        <f>(1000/'[1]Figure 1'!G298)</f>
        <v>61.050061050061053</v>
      </c>
    </row>
    <row r="299" spans="1:1" x14ac:dyDescent="0.25">
      <c r="A299">
        <f>(1000/'[1]Figure 1'!G299)</f>
        <v>57.670126874279127</v>
      </c>
    </row>
    <row r="300" spans="1:1" x14ac:dyDescent="0.25">
      <c r="A300">
        <f>(1000/'[1]Figure 1'!G300)</f>
        <v>51.308363263211909</v>
      </c>
    </row>
    <row r="301" spans="1:1" x14ac:dyDescent="0.25">
      <c r="A301">
        <f>(1000/'[1]Figure 1'!G301)</f>
        <v>61.842918985776123</v>
      </c>
    </row>
    <row r="302" spans="1:1" x14ac:dyDescent="0.25">
      <c r="A302">
        <f>(1000/'[1]Figure 1'!G302)</f>
        <v>61.842918985776123</v>
      </c>
    </row>
    <row r="303" spans="1:1" x14ac:dyDescent="0.25">
      <c r="A303">
        <f>(1000/'[1]Figure 1'!G303)</f>
        <v>58.411214953271028</v>
      </c>
    </row>
    <row r="304" spans="1:1" x14ac:dyDescent="0.25">
      <c r="A304">
        <f>(1000/'[1]Figure 1'!G304)</f>
        <v>59.206631142687982</v>
      </c>
    </row>
    <row r="305" spans="1:1" x14ac:dyDescent="0.25">
      <c r="A305">
        <f>(1000/'[1]Figure 1'!G305)</f>
        <v>54.17118093174431</v>
      </c>
    </row>
    <row r="306" spans="1:1" x14ac:dyDescent="0.25">
      <c r="A306">
        <f>(1000/'[1]Figure 1'!G306)</f>
        <v>55.710306406685241</v>
      </c>
    </row>
    <row r="307" spans="1:1" x14ac:dyDescent="0.25">
      <c r="A307">
        <f>(1000/'[1]Figure 1'!G307)</f>
        <v>57.570523891767415</v>
      </c>
    </row>
    <row r="308" spans="1:1" x14ac:dyDescent="0.25">
      <c r="A308">
        <f>(1000/'[1]Figure 1'!G308)</f>
        <v>56.053811659192824</v>
      </c>
    </row>
    <row r="309" spans="1:1" x14ac:dyDescent="0.25">
      <c r="A309">
        <f>(1000/'[1]Figure 1'!G309)</f>
        <v>58.445353594389246</v>
      </c>
    </row>
    <row r="310" spans="1:1" x14ac:dyDescent="0.25">
      <c r="A310">
        <f>(1000/'[1]Figure 1'!G310)</f>
        <v>56.915196357427433</v>
      </c>
    </row>
    <row r="311" spans="1:1" x14ac:dyDescent="0.25">
      <c r="A311">
        <f>(1000/'[1]Figure 1'!G311)</f>
        <v>57.803468208092482</v>
      </c>
    </row>
    <row r="312" spans="1:1" x14ac:dyDescent="0.25">
      <c r="A312">
        <f>(1000/'[1]Figure 1'!G312)</f>
        <v>58.719906048150321</v>
      </c>
    </row>
    <row r="313" spans="1:1" x14ac:dyDescent="0.25">
      <c r="A313">
        <f>(1000/'[1]Figure 1'!G313)</f>
        <v>59.665871121718375</v>
      </c>
    </row>
    <row r="314" spans="1:1" x14ac:dyDescent="0.25">
      <c r="A314">
        <f>(1000/'[1]Figure 1'!G314)</f>
        <v>61.236987140232706</v>
      </c>
    </row>
    <row r="315" spans="1:1" x14ac:dyDescent="0.25">
      <c r="A315">
        <f>(1000/'[1]Figure 1'!G315)</f>
        <v>62.5</v>
      </c>
    </row>
    <row r="316" spans="1:1" x14ac:dyDescent="0.25">
      <c r="A316">
        <f>(1000/'[1]Figure 1'!G316)</f>
        <v>106.60980810234541</v>
      </c>
    </row>
    <row r="317" spans="1:1" x14ac:dyDescent="0.25">
      <c r="A317">
        <f>(1000/'[1]Figure 1'!G317)</f>
        <v>117.92452830188678</v>
      </c>
    </row>
    <row r="318" spans="1:1" x14ac:dyDescent="0.25">
      <c r="A318">
        <f>(1000/'[1]Figure 1'!G318)</f>
        <v>51.840331778123385</v>
      </c>
    </row>
    <row r="319" spans="1:1" x14ac:dyDescent="0.25">
      <c r="A319">
        <f>(1000/'[1]Figure 1'!G319)</f>
        <v>51.840331778123385</v>
      </c>
    </row>
    <row r="320" spans="1:1" x14ac:dyDescent="0.25">
      <c r="A320">
        <f>(1000/'[1]Figure 1'!G320)</f>
        <v>59.701492537313435</v>
      </c>
    </row>
    <row r="321" spans="1:1" x14ac:dyDescent="0.25">
      <c r="A321">
        <f>(1000/'[1]Figure 1'!G321)</f>
        <v>57.175528873642087</v>
      </c>
    </row>
    <row r="322" spans="1:1" x14ac:dyDescent="0.25">
      <c r="A322">
        <f>(1000/'[1]Figure 1'!G322)</f>
        <v>49.701789264413513</v>
      </c>
    </row>
    <row r="323" spans="1:1" x14ac:dyDescent="0.25">
      <c r="A323">
        <f>(1000/'[1]Figure 1'!G323)</f>
        <v>52.246603970741901</v>
      </c>
    </row>
    <row r="324" spans="1:1" x14ac:dyDescent="0.25">
      <c r="A324">
        <f>(1000/'[1]Figure 1'!G324)</f>
        <v>52.246603970741901</v>
      </c>
    </row>
    <row r="325" spans="1:1" x14ac:dyDescent="0.25">
      <c r="A325">
        <f>(1000/'[1]Figure 1'!G325)</f>
        <v>57.603686635944705</v>
      </c>
    </row>
    <row r="326" spans="1:1" x14ac:dyDescent="0.25">
      <c r="A326">
        <f>(1000/'[1]Figure 1'!G326)</f>
        <v>60.168471720818289</v>
      </c>
    </row>
    <row r="327" spans="1:1" x14ac:dyDescent="0.25">
      <c r="A327">
        <f>(1000/'[1]Figure 1'!G327)</f>
        <v>57.603686635944705</v>
      </c>
    </row>
    <row r="328" spans="1:1" x14ac:dyDescent="0.25">
      <c r="A328">
        <f>(1000/'[1]Figure 1'!G328)</f>
        <v>50.075112669003509</v>
      </c>
    </row>
    <row r="329" spans="1:1" x14ac:dyDescent="0.25">
      <c r="A329">
        <f>(1000/'[1]Figure 1'!G329)</f>
        <v>52.631578947368418</v>
      </c>
    </row>
    <row r="330" spans="1:1" x14ac:dyDescent="0.25">
      <c r="A330">
        <f>(1000/'[1]Figure 1'!G330)</f>
        <v>52.631578947368418</v>
      </c>
    </row>
    <row r="331" spans="1:1" x14ac:dyDescent="0.25">
      <c r="A331">
        <f>(1000/'[1]Figure 1'!G331)</f>
        <v>58.038305281485776</v>
      </c>
    </row>
    <row r="332" spans="1:1" x14ac:dyDescent="0.25">
      <c r="A332">
        <f>(1000/'[1]Figure 1'!G332)</f>
        <v>60.606060606060609</v>
      </c>
    </row>
    <row r="333" spans="1:1" x14ac:dyDescent="0.25">
      <c r="A333">
        <f>(1000/'[1]Figure 1'!G333)</f>
        <v>58.038305281485776</v>
      </c>
    </row>
    <row r="334" spans="1:1" x14ac:dyDescent="0.25">
      <c r="A334">
        <f>(1000/'[1]Figure 1'!G334)</f>
        <v>50.454086781029261</v>
      </c>
    </row>
    <row r="335" spans="1:1" x14ac:dyDescent="0.25">
      <c r="A335">
        <f>(1000/'[1]Figure 1'!G335)</f>
        <v>53.022269353128316</v>
      </c>
    </row>
    <row r="336" spans="1:1" x14ac:dyDescent="0.25">
      <c r="A336">
        <f>(1000/'[1]Figure 1'!G336)</f>
        <v>53.022269353128316</v>
      </c>
    </row>
    <row r="337" spans="1:1" x14ac:dyDescent="0.25">
      <c r="A337">
        <f>(1000/'[1]Figure 1'!G337)</f>
        <v>58.479532163742682</v>
      </c>
    </row>
    <row r="338" spans="1:1" x14ac:dyDescent="0.25">
      <c r="A338">
        <f>(1000/'[1]Figure 1'!G338)</f>
        <v>61.050061050061053</v>
      </c>
    </row>
    <row r="339" spans="1:1" x14ac:dyDescent="0.25">
      <c r="A339">
        <f>(1000/'[1]Figure 1'!G339)</f>
        <v>58.479532163742682</v>
      </c>
    </row>
    <row r="340" spans="1:1" x14ac:dyDescent="0.25">
      <c r="A340">
        <f>(1000/'[1]Figure 1'!G340)</f>
        <v>50.838840874428058</v>
      </c>
    </row>
    <row r="341" spans="1:1" x14ac:dyDescent="0.25">
      <c r="A341">
        <f>(1000/'[1]Figure 1'!G341)</f>
        <v>53.447354355959376</v>
      </c>
    </row>
    <row r="342" spans="1:1" x14ac:dyDescent="0.25">
      <c r="A342">
        <f>(1000/'[1]Figure 1'!G342)</f>
        <v>53.447354355959376</v>
      </c>
    </row>
    <row r="343" spans="1:1" x14ac:dyDescent="0.25">
      <c r="A343">
        <f>(1000/'[1]Figure 1'!G343)</f>
        <v>58.927519151443725</v>
      </c>
    </row>
    <row r="344" spans="1:1" x14ac:dyDescent="0.25">
      <c r="A344">
        <f>(1000/'[1]Figure 1'!G344)</f>
        <v>61.53846153846154</v>
      </c>
    </row>
    <row r="345" spans="1:1" x14ac:dyDescent="0.25">
      <c r="A345">
        <f>(1000/'[1]Figure 1'!G345)</f>
        <v>58.927519151443725</v>
      </c>
    </row>
    <row r="346" spans="1:1" x14ac:dyDescent="0.25">
      <c r="A346">
        <f>(1000/'[1]Figure 1'!G346)</f>
        <v>51.229508196721312</v>
      </c>
    </row>
    <row r="347" spans="1:1" x14ac:dyDescent="0.25">
      <c r="A347">
        <f>(1000/'[1]Figure 1'!G347)</f>
        <v>59.382422802850357</v>
      </c>
    </row>
    <row r="348" spans="1:1" x14ac:dyDescent="0.25">
      <c r="A348">
        <f>(1000/'[1]Figure 1'!G348)</f>
        <v>51.626226122870413</v>
      </c>
    </row>
    <row r="349" spans="1:1" x14ac:dyDescent="0.25">
      <c r="A349">
        <f>(1000/'[1]Figure 1'!G349)</f>
        <v>59.844404548174744</v>
      </c>
    </row>
    <row r="350" spans="1:1" x14ac:dyDescent="0.25">
      <c r="A350">
        <f>(1000/'[1]Figure 1'!G350)</f>
        <v>50.175614651279481</v>
      </c>
    </row>
    <row r="351" spans="1:1" x14ac:dyDescent="0.25">
      <c r="A351">
        <f>(1000/'[1]Figure 1'!G351)</f>
        <v>57.670126874279127</v>
      </c>
    </row>
    <row r="352" spans="1:1" x14ac:dyDescent="0.25">
      <c r="A352">
        <f>(1000/'[1]Figure 1'!G352)</f>
        <v>50.581689428426913</v>
      </c>
    </row>
    <row r="353" spans="1:1" x14ac:dyDescent="0.25">
      <c r="A353">
        <f>(1000/'[1]Figure 1'!G353)</f>
        <v>58.173356602675973</v>
      </c>
    </row>
    <row r="354" spans="1:1" x14ac:dyDescent="0.25">
      <c r="A354">
        <f>(1000/'[1]Figure 1'!G354)</f>
        <v>50.994390617032131</v>
      </c>
    </row>
    <row r="355" spans="1:1" x14ac:dyDescent="0.25">
      <c r="A355">
        <f>(1000/'[1]Figure 1'!G355)</f>
        <v>58.651026392961874</v>
      </c>
    </row>
    <row r="356" spans="1:1" x14ac:dyDescent="0.25">
      <c r="A356">
        <f>(1000/'[1]Figure 1'!G356)</f>
        <v>52.438384897745152</v>
      </c>
    </row>
    <row r="357" spans="1:1" x14ac:dyDescent="0.25">
      <c r="A357">
        <f>(1000/'[1]Figure 1'!G357)</f>
        <v>51.440329218106996</v>
      </c>
    </row>
    <row r="358" spans="1:1" x14ac:dyDescent="0.25">
      <c r="A358">
        <f>(1000/'[1]Figure 1'!G358)</f>
        <v>59.13660555884092</v>
      </c>
    </row>
    <row r="359" spans="1:1" x14ac:dyDescent="0.25">
      <c r="A359">
        <f>(1000/'[1]Figure 1'!G359)</f>
        <v>52.882072977260705</v>
      </c>
    </row>
    <row r="360" spans="1:1" x14ac:dyDescent="0.25">
      <c r="A360">
        <f>(1000/'[1]Figure 1'!G360)</f>
        <v>51.867219917012449</v>
      </c>
    </row>
    <row r="361" spans="1:1" x14ac:dyDescent="0.25">
      <c r="A361">
        <f>(1000/'[1]Figure 1'!G361)</f>
        <v>59.665871121718375</v>
      </c>
    </row>
    <row r="362" spans="1:1" x14ac:dyDescent="0.25">
      <c r="A362">
        <f>(1000/'[1]Figure 1'!G362)</f>
        <v>53.333333333333336</v>
      </c>
    </row>
    <row r="363" spans="1:1" x14ac:dyDescent="0.25">
      <c r="A363">
        <f>(1000/'[1]Figure 1'!G363)</f>
        <v>52.30125523012552</v>
      </c>
    </row>
    <row r="364" spans="1:1" x14ac:dyDescent="0.25">
      <c r="A364">
        <f>(1000/'[1]Figure 1'!G364)</f>
        <v>60.168471720818289</v>
      </c>
    </row>
    <row r="365" spans="1:1" x14ac:dyDescent="0.25">
      <c r="A365">
        <f>(1000/'[1]Figure 1'!G365)</f>
        <v>53.792361484669179</v>
      </c>
    </row>
    <row r="366" spans="1:1" x14ac:dyDescent="0.25">
      <c r="A366">
        <f>(1000/'[1]Figure 1'!G366)</f>
        <v>53.219797764768494</v>
      </c>
    </row>
    <row r="367" spans="1:1" x14ac:dyDescent="0.25">
      <c r="A367">
        <f>(1000/'[1]Figure 1'!G367)</f>
        <v>54.259359739555073</v>
      </c>
    </row>
    <row r="368" spans="1:1" x14ac:dyDescent="0.25">
      <c r="A368">
        <f>(1000/'[1]Figure 1'!G368)</f>
        <v>53.676865271068174</v>
      </c>
    </row>
    <row r="369" spans="1:1" x14ac:dyDescent="0.25">
      <c r="A369">
        <f>(1000/'[1]Figure 1'!G369)</f>
        <v>47.370914258645193</v>
      </c>
    </row>
    <row r="370" spans="1:1" x14ac:dyDescent="0.25">
      <c r="A370">
        <f>(1000/'[1]Figure 1'!G370)</f>
        <v>47.370914258645193</v>
      </c>
    </row>
    <row r="371" spans="1:1" x14ac:dyDescent="0.25">
      <c r="A371">
        <f>(1000/'[1]Figure 1'!G371)</f>
        <v>47.370914258645193</v>
      </c>
    </row>
    <row r="372" spans="1:1" x14ac:dyDescent="0.25">
      <c r="A372">
        <f>(1000/'[1]Figure 1'!G372)</f>
        <v>47.370914258645193</v>
      </c>
    </row>
    <row r="373" spans="1:1" x14ac:dyDescent="0.25">
      <c r="A373">
        <f>(1000/'[1]Figure 1'!G373)</f>
        <v>54.17118093174431</v>
      </c>
    </row>
    <row r="374" spans="1:1" x14ac:dyDescent="0.25">
      <c r="A374">
        <f>(1000/'[1]Figure 1'!G374)</f>
        <v>47.778308647873864</v>
      </c>
    </row>
    <row r="375" spans="1:1" x14ac:dyDescent="0.25">
      <c r="A375">
        <f>(1000/'[1]Figure 1'!G375)</f>
        <v>47.778308647873864</v>
      </c>
    </row>
    <row r="376" spans="1:1" x14ac:dyDescent="0.25">
      <c r="A376">
        <f>(1000/'[1]Figure 1'!G376)</f>
        <v>47.778308647873864</v>
      </c>
    </row>
    <row r="377" spans="1:1" x14ac:dyDescent="0.25">
      <c r="A377">
        <f>(1000/'[1]Figure 1'!G377)</f>
        <v>47.778308647873864</v>
      </c>
    </row>
    <row r="378" spans="1:1" x14ac:dyDescent="0.25">
      <c r="A378">
        <f>(1000/'[1]Figure 1'!G378)</f>
        <v>54.644808743169399</v>
      </c>
    </row>
    <row r="379" spans="1:1" x14ac:dyDescent="0.25">
      <c r="A379">
        <f>(1000/'[1]Figure 1'!G379)</f>
        <v>51.599587203302377</v>
      </c>
    </row>
    <row r="380" spans="1:1" x14ac:dyDescent="0.25">
      <c r="A380">
        <f>(1000/'[1]Figure 1'!G380)</f>
        <v>48.216007714561236</v>
      </c>
    </row>
    <row r="381" spans="1:1" x14ac:dyDescent="0.25">
      <c r="A381">
        <f>(1000/'[1]Figure 1'!G381)</f>
        <v>48.216007714561236</v>
      </c>
    </row>
    <row r="382" spans="1:1" x14ac:dyDescent="0.25">
      <c r="A382">
        <f>(1000/'[1]Figure 1'!G382)</f>
        <v>48.216007714561236</v>
      </c>
    </row>
    <row r="383" spans="1:1" x14ac:dyDescent="0.25">
      <c r="A383">
        <f>(1000/'[1]Figure 1'!G383)</f>
        <v>48.216007714561236</v>
      </c>
    </row>
    <row r="384" spans="1:1" x14ac:dyDescent="0.25">
      <c r="A384">
        <f>(1000/'[1]Figure 1'!G384)</f>
        <v>48.216007714561236</v>
      </c>
    </row>
    <row r="385" spans="1:1" x14ac:dyDescent="0.25">
      <c r="A385">
        <f>(1000/'[1]Figure 1'!G385)</f>
        <v>54.466230936819173</v>
      </c>
    </row>
    <row r="386" spans="1:1" x14ac:dyDescent="0.25">
      <c r="A386">
        <f>(1000/'[1]Figure 1'!G386)</f>
        <v>54.466230936819173</v>
      </c>
    </row>
    <row r="387" spans="1:1" x14ac:dyDescent="0.25">
      <c r="A387">
        <f>(1000/'[1]Figure 1'!G387)</f>
        <v>48.216007714561236</v>
      </c>
    </row>
    <row r="388" spans="1:1" x14ac:dyDescent="0.25">
      <c r="A388">
        <f>(1000/'[1]Figure 1'!G388)</f>
        <v>51.786639047125846</v>
      </c>
    </row>
    <row r="389" spans="1:1" x14ac:dyDescent="0.25">
      <c r="A389">
        <f>(1000/'[1]Figure 1'!G389)</f>
        <v>54.466230936819173</v>
      </c>
    </row>
    <row r="390" spans="1:1" x14ac:dyDescent="0.25">
      <c r="A390">
        <f>(1000/'[1]Figure 1'!G390)</f>
        <v>70.521861777150917</v>
      </c>
    </row>
    <row r="391" spans="1:1" x14ac:dyDescent="0.25">
      <c r="A391">
        <f>(1000/'[1]Figure 1'!G391)</f>
        <v>58.207217694994178</v>
      </c>
    </row>
    <row r="392" spans="1:1" x14ac:dyDescent="0.25">
      <c r="A392">
        <f>(1000/'[1]Figure 1'!G392)</f>
        <v>55.126791620727673</v>
      </c>
    </row>
    <row r="393" spans="1:1" x14ac:dyDescent="0.25">
      <c r="A393">
        <f>(1000/'[1]Figure 1'!G393)</f>
        <v>55.865921787709503</v>
      </c>
    </row>
    <row r="394" spans="1:1" x14ac:dyDescent="0.25">
      <c r="A394">
        <f>(1000/'[1]Figure 1'!G394)</f>
        <v>48.638132295719849</v>
      </c>
    </row>
    <row r="395" spans="1:1" x14ac:dyDescent="0.25">
      <c r="A395">
        <f>(1000/'[1]Figure 1'!G395)</f>
        <v>55.865921787709503</v>
      </c>
    </row>
    <row r="396" spans="1:1" x14ac:dyDescent="0.25">
      <c r="A396">
        <f>(1000/'[1]Figure 1'!G396)</f>
        <v>48.638132295719849</v>
      </c>
    </row>
    <row r="397" spans="1:1" x14ac:dyDescent="0.25">
      <c r="A397">
        <f>(1000/'[1]Figure 1'!G397)</f>
        <v>48.638132295719849</v>
      </c>
    </row>
    <row r="398" spans="1:1" x14ac:dyDescent="0.25">
      <c r="A398">
        <f>(1000/'[1]Figure 1'!G398)</f>
        <v>48.638132295719849</v>
      </c>
    </row>
    <row r="399" spans="1:1" x14ac:dyDescent="0.25">
      <c r="A399">
        <f>(1000/'[1]Figure 1'!G399)</f>
        <v>48.638132295719849</v>
      </c>
    </row>
    <row r="400" spans="1:1" x14ac:dyDescent="0.25">
      <c r="A400">
        <f>(1000/'[1]Figure 1'!G400)</f>
        <v>54.945054945054949</v>
      </c>
    </row>
    <row r="401" spans="1:1" x14ac:dyDescent="0.25">
      <c r="A401">
        <f>(1000/'[1]Figure 1'!G401)</f>
        <v>54.945054945054949</v>
      </c>
    </row>
    <row r="402" spans="1:1" x14ac:dyDescent="0.25">
      <c r="A402">
        <f>(1000/'[1]Figure 1'!G402)</f>
        <v>50.994390617032131</v>
      </c>
    </row>
    <row r="403" spans="1:1" x14ac:dyDescent="0.25">
      <c r="A403">
        <f>(1000/'[1]Figure 1'!G403)</f>
        <v>48.638132295719849</v>
      </c>
    </row>
    <row r="404" spans="1:1" x14ac:dyDescent="0.25">
      <c r="A404">
        <f>(1000/'[1]Figure 1'!G404)</f>
        <v>52.246603970741901</v>
      </c>
    </row>
    <row r="405" spans="1:1" x14ac:dyDescent="0.25">
      <c r="A405">
        <f>(1000/'[1]Figure 1'!G405)</f>
        <v>54.945054945054949</v>
      </c>
    </row>
    <row r="406" spans="1:1" x14ac:dyDescent="0.25">
      <c r="A406">
        <f>(1000/'[1]Figure 1'!G406)</f>
        <v>71.17437722419929</v>
      </c>
    </row>
    <row r="407" spans="1:1" x14ac:dyDescent="0.25">
      <c r="A407">
        <f>(1000/'[1]Figure 1'!G407)</f>
        <v>58.719906048150321</v>
      </c>
    </row>
    <row r="408" spans="1:1" x14ac:dyDescent="0.25">
      <c r="A408">
        <f>(1000/'[1]Figure 1'!G408)</f>
        <v>50.916496945010181</v>
      </c>
    </row>
    <row r="409" spans="1:1" x14ac:dyDescent="0.25">
      <c r="A409">
        <f>(1000/'[1]Figure 1'!G409)</f>
        <v>50.916496945010181</v>
      </c>
    </row>
    <row r="410" spans="1:1" x14ac:dyDescent="0.25">
      <c r="A410">
        <f>(1000/'[1]Figure 1'!G410)</f>
        <v>56.369785794813986</v>
      </c>
    </row>
    <row r="411" spans="1:1" x14ac:dyDescent="0.25">
      <c r="A411">
        <f>(1000/'[1]Figure 1'!G411)</f>
        <v>49.091801669121253</v>
      </c>
    </row>
    <row r="412" spans="1:1" x14ac:dyDescent="0.25">
      <c r="A412">
        <f>(1000/'[1]Figure 1'!G412)</f>
        <v>56.369785794813986</v>
      </c>
    </row>
    <row r="413" spans="1:1" x14ac:dyDescent="0.25">
      <c r="A413">
        <f>(1000/'[1]Figure 1'!G413)</f>
        <v>49.091801669121253</v>
      </c>
    </row>
    <row r="414" spans="1:1" x14ac:dyDescent="0.25">
      <c r="A414">
        <f>(1000/'[1]Figure 1'!G414)</f>
        <v>49.091801669121253</v>
      </c>
    </row>
    <row r="415" spans="1:1" x14ac:dyDescent="0.25">
      <c r="A415">
        <f>(1000/'[1]Figure 1'!G415)</f>
        <v>49.091801669121253</v>
      </c>
    </row>
    <row r="416" spans="1:1" x14ac:dyDescent="0.25">
      <c r="A416">
        <f>(1000/'[1]Figure 1'!G416)</f>
        <v>49.091801669121253</v>
      </c>
    </row>
    <row r="417" spans="1:1" x14ac:dyDescent="0.25">
      <c r="A417">
        <f>(1000/'[1]Figure 1'!G417)</f>
        <v>55.463117027176921</v>
      </c>
    </row>
    <row r="418" spans="1:1" x14ac:dyDescent="0.25">
      <c r="A418">
        <f>(1000/'[1]Figure 1'!G418)</f>
        <v>55.463117027176921</v>
      </c>
    </row>
    <row r="419" spans="1:1" x14ac:dyDescent="0.25">
      <c r="A419">
        <f>(1000/'[1]Figure 1'!G419)</f>
        <v>51.466803911477101</v>
      </c>
    </row>
    <row r="420" spans="1:1" x14ac:dyDescent="0.25">
      <c r="A420">
        <f>(1000/'[1]Figure 1'!G420)</f>
        <v>49.091801669121253</v>
      </c>
    </row>
    <row r="421" spans="1:1" x14ac:dyDescent="0.25">
      <c r="A421">
        <f>(1000/'[1]Figure 1'!G421)</f>
        <v>52.714812862414341</v>
      </c>
    </row>
    <row r="422" spans="1:1" x14ac:dyDescent="0.25">
      <c r="A422">
        <f>(1000/'[1]Figure 1'!G422)</f>
        <v>55.463117027176921</v>
      </c>
    </row>
    <row r="423" spans="1:1" x14ac:dyDescent="0.25">
      <c r="A423">
        <f>(1000/'[1]Figure 1'!G423)</f>
        <v>71.839080459770116</v>
      </c>
    </row>
    <row r="424" spans="1:1" x14ac:dyDescent="0.25">
      <c r="A424">
        <f>(1000/'[1]Figure 1'!G424)</f>
        <v>59.276822762299936</v>
      </c>
    </row>
    <row r="425" spans="1:1" x14ac:dyDescent="0.25">
      <c r="A425">
        <f>(1000/'[1]Figure 1'!G425)</f>
        <v>51.387461459403902</v>
      </c>
    </row>
    <row r="426" spans="1:1" x14ac:dyDescent="0.25">
      <c r="A426">
        <f>(1000/'[1]Figure 1'!G426)</f>
        <v>51.387461459403902</v>
      </c>
    </row>
    <row r="427" spans="1:1" x14ac:dyDescent="0.25">
      <c r="A427">
        <f>(1000/'[1]Figure 1'!G427)</f>
        <v>51.387461459403902</v>
      </c>
    </row>
    <row r="428" spans="1:1" x14ac:dyDescent="0.25">
      <c r="A428">
        <f>(1000/'[1]Figure 1'!G428)</f>
        <v>49.529470034670624</v>
      </c>
    </row>
    <row r="429" spans="1:1" x14ac:dyDescent="0.25">
      <c r="A429">
        <f>(1000/'[1]Figure 1'!G429)</f>
        <v>56.882821387940851</v>
      </c>
    </row>
    <row r="430" spans="1:1" x14ac:dyDescent="0.25">
      <c r="A430">
        <f>(1000/'[1]Figure 1'!G430)</f>
        <v>56.882821387940851</v>
      </c>
    </row>
    <row r="431" spans="1:1" x14ac:dyDescent="0.25">
      <c r="A431">
        <f>(1000/'[1]Figure 1'!G431)</f>
        <v>49.529470034670624</v>
      </c>
    </row>
    <row r="432" spans="1:1" x14ac:dyDescent="0.25">
      <c r="A432">
        <f>(1000/'[1]Figure 1'!G432)</f>
        <v>49.529470034670624</v>
      </c>
    </row>
    <row r="433" spans="1:1" x14ac:dyDescent="0.25">
      <c r="A433">
        <f>(1000/'[1]Figure 1'!G433)</f>
        <v>55.959709009513148</v>
      </c>
    </row>
    <row r="434" spans="1:1" x14ac:dyDescent="0.25">
      <c r="A434">
        <f>(1000/'[1]Figure 1'!G434)</f>
        <v>55.959709009513148</v>
      </c>
    </row>
    <row r="435" spans="1:1" x14ac:dyDescent="0.25">
      <c r="A435">
        <f>(1000/'[1]Figure 1'!G435)</f>
        <v>51.921079958463132</v>
      </c>
    </row>
    <row r="436" spans="1:1" x14ac:dyDescent="0.25">
      <c r="A436">
        <f>(1000/'[1]Figure 1'!G436)</f>
        <v>53.219797764768494</v>
      </c>
    </row>
    <row r="437" spans="1:1" x14ac:dyDescent="0.25">
      <c r="A437">
        <f>(1000/'[1]Figure 1'!G437)</f>
        <v>55.959709009513148</v>
      </c>
    </row>
    <row r="438" spans="1:1" x14ac:dyDescent="0.25">
      <c r="A438">
        <f>(1000/'[1]Figure 1'!G438)</f>
        <v>72.463768115942031</v>
      </c>
    </row>
    <row r="439" spans="1:1" x14ac:dyDescent="0.25">
      <c r="A439">
        <f>(1000/'[1]Figure 1'!G439)</f>
        <v>59.808612440191389</v>
      </c>
    </row>
    <row r="440" spans="1:1" x14ac:dyDescent="0.25">
      <c r="A440">
        <f>(1000/'[1]Figure 1'!G440)</f>
        <v>51.840331778123385</v>
      </c>
    </row>
    <row r="441" spans="1:1" x14ac:dyDescent="0.25">
      <c r="A441">
        <f>(1000/'[1]Figure 1'!G441)</f>
        <v>51.840331778123385</v>
      </c>
    </row>
    <row r="442" spans="1:1" x14ac:dyDescent="0.25">
      <c r="A442">
        <f>(1000/'[1]Figure 1'!G442)</f>
        <v>51.840331778123385</v>
      </c>
    </row>
    <row r="443" spans="1:1" x14ac:dyDescent="0.25">
      <c r="A443">
        <f>(1000/'[1]Figure 1'!G443)</f>
        <v>50</v>
      </c>
    </row>
    <row r="444" spans="1:1" x14ac:dyDescent="0.25">
      <c r="A444">
        <f>(1000/'[1]Figure 1'!G444)</f>
        <v>57.405281285878296</v>
      </c>
    </row>
    <row r="445" spans="1:1" x14ac:dyDescent="0.25">
      <c r="A445">
        <f>(1000/'[1]Figure 1'!G445)</f>
        <v>57.405281285878296</v>
      </c>
    </row>
    <row r="446" spans="1:1" x14ac:dyDescent="0.25">
      <c r="A446">
        <f>(1000/'[1]Figure 1'!G446)</f>
        <v>50</v>
      </c>
    </row>
    <row r="447" spans="1:1" x14ac:dyDescent="0.25">
      <c r="A447">
        <f>(1000/'[1]Figure 1'!G447)</f>
        <v>50</v>
      </c>
    </row>
    <row r="448" spans="1:1" x14ac:dyDescent="0.25">
      <c r="A448">
        <f>(1000/'[1]Figure 1'!G448)</f>
        <v>56.497175141242941</v>
      </c>
    </row>
    <row r="449" spans="1:1" x14ac:dyDescent="0.25">
      <c r="A449">
        <f>(1000/'[1]Figure 1'!G449)</f>
        <v>56.497175141242941</v>
      </c>
    </row>
    <row r="450" spans="1:1" x14ac:dyDescent="0.25">
      <c r="A450">
        <f>(1000/'[1]Figure 1'!G450)</f>
        <v>52.410901467505248</v>
      </c>
    </row>
    <row r="451" spans="1:1" x14ac:dyDescent="0.25">
      <c r="A451">
        <f>(1000/'[1]Figure 1'!G451)</f>
        <v>53.705692803437159</v>
      </c>
    </row>
    <row r="452" spans="1:1" x14ac:dyDescent="0.25">
      <c r="A452">
        <f>(1000/'[1]Figure 1'!G452)</f>
        <v>56.497175141242941</v>
      </c>
    </row>
    <row r="453" spans="1:1" x14ac:dyDescent="0.25">
      <c r="A453">
        <f>(1000/'[1]Figure 1'!G453)</f>
        <v>73.152889539136794</v>
      </c>
    </row>
    <row r="454" spans="1:1" x14ac:dyDescent="0.25">
      <c r="A454">
        <f>(1000/'[1]Figure 1'!G454)</f>
        <v>60.386473429951693</v>
      </c>
    </row>
    <row r="455" spans="1:1" x14ac:dyDescent="0.25">
      <c r="A455">
        <f>(1000/'[1]Figure 1'!G455)</f>
        <v>54.024851431658561</v>
      </c>
    </row>
    <row r="456" spans="1:1" x14ac:dyDescent="0.25">
      <c r="A456">
        <f>(1000/'[1]Figure 1'!G456)</f>
        <v>52.328623757195189</v>
      </c>
    </row>
    <row r="457" spans="1:1" x14ac:dyDescent="0.25">
      <c r="A457">
        <f>(1000/'[1]Figure 1'!G457)</f>
        <v>52.328623757195189</v>
      </c>
    </row>
    <row r="458" spans="1:1" x14ac:dyDescent="0.25">
      <c r="A458">
        <f>(1000/'[1]Figure 1'!G458)</f>
        <v>50.479555779909141</v>
      </c>
    </row>
    <row r="459" spans="1:1" x14ac:dyDescent="0.25">
      <c r="A459">
        <f>(1000/'[1]Figure 1'!G459)</f>
        <v>57.937427578215519</v>
      </c>
    </row>
    <row r="460" spans="1:1" x14ac:dyDescent="0.25">
      <c r="A460">
        <f>(1000/'[1]Figure 1'!G460)</f>
        <v>57.012542759407076</v>
      </c>
    </row>
    <row r="461" spans="1:1" x14ac:dyDescent="0.25">
      <c r="A461">
        <f>(1000/'[1]Figure 1'!G461)</f>
        <v>57.012542759407076</v>
      </c>
    </row>
    <row r="462" spans="1:1" x14ac:dyDescent="0.25">
      <c r="A462">
        <f>(1000/'[1]Figure 1'!G462)</f>
        <v>52.910052910052912</v>
      </c>
    </row>
    <row r="463" spans="1:1" x14ac:dyDescent="0.25">
      <c r="A463">
        <f>(1000/'[1]Figure 1'!G463)</f>
        <v>54.200542005420054</v>
      </c>
    </row>
    <row r="464" spans="1:1" x14ac:dyDescent="0.25">
      <c r="A464">
        <f>(1000/'[1]Figure 1'!G464)</f>
        <v>57.012542759407076</v>
      </c>
    </row>
    <row r="465" spans="1:1" x14ac:dyDescent="0.25">
      <c r="A465">
        <f>(1000/'[1]Figure 1'!G465)</f>
        <v>60.938452163315048</v>
      </c>
    </row>
    <row r="466" spans="1:1" x14ac:dyDescent="0.25">
      <c r="A466">
        <f>(1000/'[1]Figure 1'!G466)</f>
        <v>54.525627044711015</v>
      </c>
    </row>
    <row r="467" spans="1:1" x14ac:dyDescent="0.25">
      <c r="A467">
        <f>(1000/'[1]Figure 1'!G467)</f>
        <v>52.826201796090864</v>
      </c>
    </row>
    <row r="468" spans="1:1" x14ac:dyDescent="0.25">
      <c r="A468">
        <f>(1000/'[1]Figure 1'!G468)</f>
        <v>52.826201796090864</v>
      </c>
    </row>
    <row r="469" spans="1:1" x14ac:dyDescent="0.25">
      <c r="A469">
        <f>(1000/'[1]Figure 1'!G469)</f>
        <v>58.479532163742682</v>
      </c>
    </row>
    <row r="470" spans="1:1" x14ac:dyDescent="0.25">
      <c r="A470">
        <f>(1000/'[1]Figure 1'!G470)</f>
        <v>50.942435048395318</v>
      </c>
    </row>
    <row r="471" spans="1:1" x14ac:dyDescent="0.25">
      <c r="A471">
        <f>(1000/'[1]Figure 1'!G471)</f>
        <v>53.390282968499733</v>
      </c>
    </row>
    <row r="472" spans="1:1" x14ac:dyDescent="0.25">
      <c r="A472">
        <f>(1000/'[1]Figure 1'!G472)</f>
        <v>55.035773252614192</v>
      </c>
    </row>
    <row r="473" spans="1:1" x14ac:dyDescent="0.25">
      <c r="A473">
        <f>(1000/'[1]Figure 1'!G473)</f>
        <v>53.333333333333336</v>
      </c>
    </row>
    <row r="474" spans="1:1" x14ac:dyDescent="0.25">
      <c r="A474">
        <f>(1000/'[1]Figure 1'!G474)</f>
        <v>59.031877213695388</v>
      </c>
    </row>
    <row r="475" spans="1:1" x14ac:dyDescent="0.25">
      <c r="A475">
        <f>(1000/'[1]Figure 1'!G475)</f>
        <v>55.586436909394109</v>
      </c>
    </row>
    <row r="476" spans="1:1" x14ac:dyDescent="0.25">
      <c r="A476">
        <f>(1000/'[1]Figure 1'!G476)</f>
        <v>59.630292188431724</v>
      </c>
    </row>
    <row r="477" spans="1:1" x14ac:dyDescent="0.25">
      <c r="A477">
        <f>(1000/'[1]Figure 1'!G477)</f>
        <v>56.116722783389449</v>
      </c>
    </row>
    <row r="478" spans="1:1" x14ac:dyDescent="0.25">
      <c r="A478">
        <f>(1000/'[1]Figure 1'!G478)</f>
        <v>51.072522982635348</v>
      </c>
    </row>
    <row r="479" spans="1:1" x14ac:dyDescent="0.25">
      <c r="A479">
        <f>(1000/'[1]Figure 1'!G479)</f>
        <v>59.031877213695388</v>
      </c>
    </row>
    <row r="480" spans="1:1" x14ac:dyDescent="0.25">
      <c r="A480">
        <f>(1000/'[1]Figure 1'!G480)</f>
        <v>51.572975760701389</v>
      </c>
    </row>
    <row r="481" spans="1:1" x14ac:dyDescent="0.25">
      <c r="A481">
        <f>(1000/'[1]Figure 1'!G481)</f>
        <v>51.572975760701389</v>
      </c>
    </row>
    <row r="482" spans="1:1" x14ac:dyDescent="0.25">
      <c r="A482">
        <f>(1000/'[1]Figure 1'!G482)</f>
        <v>59.594755661501786</v>
      </c>
    </row>
    <row r="483" spans="1:1" x14ac:dyDescent="0.25">
      <c r="A483">
        <f>(1000/'[1]Figure 1'!G483)</f>
        <v>52.083333333333336</v>
      </c>
    </row>
    <row r="484" spans="1:1" x14ac:dyDescent="0.25">
      <c r="A484">
        <f>(1000/'[1]Figure 1'!G484)</f>
        <v>52.083333333333336</v>
      </c>
    </row>
    <row r="485" spans="1:1" x14ac:dyDescent="0.25">
      <c r="A485">
        <f>(1000/'[1]Figure 1'!G485)</f>
        <v>60.204695966285371</v>
      </c>
    </row>
    <row r="486" spans="1:1" x14ac:dyDescent="0.25">
      <c r="A486">
        <f>(1000/'[1]Figure 1'!G486)</f>
        <v>52.603892688058913</v>
      </c>
    </row>
    <row r="487" spans="1:1" x14ac:dyDescent="0.25">
      <c r="A487">
        <f>(1000/'[1]Figure 1'!G487)</f>
        <v>52.603892688058913</v>
      </c>
    </row>
    <row r="488" spans="1:1" x14ac:dyDescent="0.25">
      <c r="A488">
        <f>(1000/'[1]Figure 1'!G488)</f>
        <v>60.790273556231007</v>
      </c>
    </row>
    <row r="489" spans="1:1" x14ac:dyDescent="0.25">
      <c r="A489">
        <f>(1000/'[1]Figure 1'!G489)</f>
        <v>53.134962805526037</v>
      </c>
    </row>
    <row r="490" spans="1:1" x14ac:dyDescent="0.25">
      <c r="A490">
        <f>(1000/'[1]Figure 1'!G490)</f>
        <v>53.134962805526037</v>
      </c>
    </row>
    <row r="491" spans="1:1" x14ac:dyDescent="0.25">
      <c r="A491">
        <f>(1000/'[1]Figure 1'!G491)</f>
        <v>61.425061425061422</v>
      </c>
    </row>
    <row r="492" spans="1:1" x14ac:dyDescent="0.25">
      <c r="A492">
        <f>(1000/'[1]Figure 1'!G492)</f>
        <v>53.676865271068174</v>
      </c>
    </row>
    <row r="493" spans="1:1" x14ac:dyDescent="0.25">
      <c r="A493">
        <f>(1000/'[1]Figure 1'!G493)</f>
        <v>54.229934924078087</v>
      </c>
    </row>
    <row r="494" spans="1:1" x14ac:dyDescent="0.25">
      <c r="A494">
        <f>(1000/'[1]Figure 1'!G494)</f>
        <v>51.493305870236867</v>
      </c>
    </row>
    <row r="495" spans="1:1" x14ac:dyDescent="0.25">
      <c r="A495">
        <f>(1000/'[1]Figure 1'!G495)</f>
        <v>52.05622071837584</v>
      </c>
    </row>
    <row r="496" spans="1:1" x14ac:dyDescent="0.25">
      <c r="A496">
        <f>(1000/'[1]Figure 1'!G496)</f>
        <v>52.603892688058913</v>
      </c>
    </row>
    <row r="497" spans="1:1" x14ac:dyDescent="0.25">
      <c r="A497">
        <f>(1000/'[1]Figure 1'!G497)</f>
        <v>52.603892688058913</v>
      </c>
    </row>
    <row r="498" spans="1:1" x14ac:dyDescent="0.25">
      <c r="A498">
        <f>(1000/'[1]Figure 1'!G498)</f>
        <v>52.603892688058913</v>
      </c>
    </row>
    <row r="499" spans="1:1" x14ac:dyDescent="0.25">
      <c r="A499">
        <f>(1000/'[1]Figure 1'!G499)</f>
        <v>52.164840897235258</v>
      </c>
    </row>
    <row r="500" spans="1:1" x14ac:dyDescent="0.25">
      <c r="A500">
        <f>(1000/'[1]Figure 1'!G500)</f>
        <v>53.191489361702125</v>
      </c>
    </row>
    <row r="501" spans="1:1" x14ac:dyDescent="0.25">
      <c r="A501">
        <f>(1000/'[1]Figure 1'!G501)</f>
        <v>53.191489361702125</v>
      </c>
    </row>
    <row r="502" spans="1:1" x14ac:dyDescent="0.25">
      <c r="A502">
        <f>(1000/'[1]Figure 1'!G502)</f>
        <v>53.191489361702125</v>
      </c>
    </row>
    <row r="503" spans="1:1" x14ac:dyDescent="0.25">
      <c r="A503">
        <f>(1000/'[1]Figure 1'!G503)</f>
        <v>53.191489361702125</v>
      </c>
    </row>
    <row r="504" spans="1:1" x14ac:dyDescent="0.25">
      <c r="A504">
        <f>(1000/'[1]Figure 1'!G504)</f>
        <v>52.742616033755269</v>
      </c>
    </row>
    <row r="505" spans="1:1" x14ac:dyDescent="0.25">
      <c r="A505">
        <f>(1000/'[1]Figure 1'!G505)</f>
        <v>53.763440860215049</v>
      </c>
    </row>
    <row r="506" spans="1:1" x14ac:dyDescent="0.25">
      <c r="A506">
        <f>(1000/'[1]Figure 1'!G506)</f>
        <v>52.882072977260705</v>
      </c>
    </row>
    <row r="507" spans="1:1" x14ac:dyDescent="0.25">
      <c r="A507">
        <f>(1000/'[1]Figure 1'!G507)</f>
        <v>53.763440860215049</v>
      </c>
    </row>
    <row r="508" spans="1:1" x14ac:dyDescent="0.25">
      <c r="A508">
        <f>(1000/'[1]Figure 1'!G508)</f>
        <v>53.763440860215049</v>
      </c>
    </row>
    <row r="509" spans="1:1" x14ac:dyDescent="0.25">
      <c r="A509">
        <f>(1000/'[1]Figure 1'!G509)</f>
        <v>53.763440860215049</v>
      </c>
    </row>
    <row r="510" spans="1:1" x14ac:dyDescent="0.25">
      <c r="A510">
        <f>(1000/'[1]Figure 1'!G510)</f>
        <v>53.333333333333336</v>
      </c>
    </row>
    <row r="511" spans="1:1" x14ac:dyDescent="0.25">
      <c r="A511">
        <f>(1000/'[1]Figure 1'!G511)</f>
        <v>54.377379010331701</v>
      </c>
    </row>
    <row r="512" spans="1:1" x14ac:dyDescent="0.25">
      <c r="A512">
        <f>(1000/'[1]Figure 1'!G512)</f>
        <v>53.475935828877006</v>
      </c>
    </row>
    <row r="513" spans="1:1" x14ac:dyDescent="0.25">
      <c r="A513">
        <f>(1000/'[1]Figure 1'!G513)</f>
        <v>54.377379010331701</v>
      </c>
    </row>
    <row r="514" spans="1:1" x14ac:dyDescent="0.25">
      <c r="A514">
        <f>(1000/'[1]Figure 1'!G514)</f>
        <v>54.377379010331701</v>
      </c>
    </row>
    <row r="515" spans="1:1" x14ac:dyDescent="0.25">
      <c r="A515">
        <f>(1000/'[1]Figure 1'!G515)</f>
        <v>53.937432578209282</v>
      </c>
    </row>
    <row r="516" spans="1:1" x14ac:dyDescent="0.25">
      <c r="A516">
        <f>(1000/'[1]Figure 1'!G516)</f>
        <v>55.005500550055004</v>
      </c>
    </row>
    <row r="517" spans="1:1" x14ac:dyDescent="0.25">
      <c r="A517">
        <f>(1000/'[1]Figure 1'!G517)</f>
        <v>54.083288263926448</v>
      </c>
    </row>
    <row r="518" spans="1:1" x14ac:dyDescent="0.25">
      <c r="A518">
        <f>(1000/'[1]Figure 1'!G518)</f>
        <v>55.005500550055004</v>
      </c>
    </row>
    <row r="519" spans="1:1" x14ac:dyDescent="0.25">
      <c r="A519">
        <f>(1000/'[1]Figure 1'!G519)</f>
        <v>54.083288263926448</v>
      </c>
    </row>
    <row r="520" spans="1:1" x14ac:dyDescent="0.25">
      <c r="A520">
        <f>(1000/'[1]Figure 1'!G520)</f>
        <v>55.005500550055004</v>
      </c>
    </row>
    <row r="521" spans="1:1" x14ac:dyDescent="0.25">
      <c r="A521">
        <f>(1000/'[1]Figure 1'!G521)</f>
        <v>54.083288263926448</v>
      </c>
    </row>
    <row r="522" spans="1:1" x14ac:dyDescent="0.25">
      <c r="A522">
        <f>(1000/'[1]Figure 1'!G522)</f>
        <v>54.555373704309879</v>
      </c>
    </row>
    <row r="523" spans="1:1" x14ac:dyDescent="0.25">
      <c r="A523">
        <f>(1000/'[1]Figure 1'!G523)</f>
        <v>54.704595185995622</v>
      </c>
    </row>
    <row r="524" spans="1:1" x14ac:dyDescent="0.25">
      <c r="A524">
        <f>(1000/'[1]Figure 1'!G524)</f>
        <v>54.704595185995622</v>
      </c>
    </row>
    <row r="525" spans="1:1" x14ac:dyDescent="0.25">
      <c r="A525">
        <f>(1000/'[1]Figure 1'!G525)</f>
        <v>54.704595185995622</v>
      </c>
    </row>
    <row r="526" spans="1:1" x14ac:dyDescent="0.25">
      <c r="A526">
        <f>(1000/'[1]Figure 1'!G526)</f>
        <v>55.187637969094922</v>
      </c>
    </row>
    <row r="527" spans="1:1" x14ac:dyDescent="0.25">
      <c r="A527">
        <f>(1000/'[1]Figure 1'!G527)</f>
        <v>55.340343110127279</v>
      </c>
    </row>
    <row r="528" spans="1:1" x14ac:dyDescent="0.25">
      <c r="A528">
        <f>(1000/'[1]Figure 1'!G528)</f>
        <v>55.340343110127279</v>
      </c>
    </row>
    <row r="529" spans="1:1" x14ac:dyDescent="0.25">
      <c r="A529">
        <f>(1000/'[1]Figure 1'!G529)</f>
        <v>55.340343110127279</v>
      </c>
    </row>
    <row r="530" spans="1:1" x14ac:dyDescent="0.25">
      <c r="A530">
        <f>(1000/'[1]Figure 1'!G530)</f>
        <v>50.709939148073026</v>
      </c>
    </row>
    <row r="531" spans="1:1" x14ac:dyDescent="0.25">
      <c r="A531">
        <f>(1000/'[1]Figure 1'!G531)</f>
        <v>55.991041433370661</v>
      </c>
    </row>
    <row r="532" spans="1:1" x14ac:dyDescent="0.25">
      <c r="A532">
        <f>(1000/'[1]Figure 1'!G532)</f>
        <v>55.991041433370661</v>
      </c>
    </row>
    <row r="533" spans="1:1" x14ac:dyDescent="0.25">
      <c r="A533">
        <f>(1000/'[1]Figure 1'!G533)</f>
        <v>51.759834368530022</v>
      </c>
    </row>
    <row r="534" spans="1:1" x14ac:dyDescent="0.25">
      <c r="A534">
        <f>(1000/'[1]Figure 1'!G534)</f>
        <v>51.282051282051285</v>
      </c>
    </row>
    <row r="535" spans="1:1" x14ac:dyDescent="0.25">
      <c r="A535">
        <f>(1000/'[1]Figure 1'!G535)</f>
        <v>61.919504643962853</v>
      </c>
    </row>
    <row r="536" spans="1:1" x14ac:dyDescent="0.25">
      <c r="A536">
        <f>(1000/'[1]Figure 1'!G536)</f>
        <v>56.657223796033996</v>
      </c>
    </row>
    <row r="537" spans="1:1" x14ac:dyDescent="0.25">
      <c r="A537">
        <f>(1000/'[1]Figure 1'!G537)</f>
        <v>52.383446830801468</v>
      </c>
    </row>
    <row r="538" spans="1:1" x14ac:dyDescent="0.25">
      <c r="A538">
        <f>(1000/'[1]Figure 1'!G538)</f>
        <v>56.657223796033996</v>
      </c>
    </row>
    <row r="539" spans="1:1" x14ac:dyDescent="0.25">
      <c r="A539">
        <f>(1000/'[1]Figure 1'!G539)</f>
        <v>52.383446830801468</v>
      </c>
    </row>
    <row r="540" spans="1:1" x14ac:dyDescent="0.25">
      <c r="A540">
        <f>(1000/'[1]Figure 1'!G540)</f>
        <v>51.89413596263622</v>
      </c>
    </row>
    <row r="541" spans="1:1" x14ac:dyDescent="0.25">
      <c r="A541">
        <f>(1000/'[1]Figure 1'!G541)</f>
        <v>52.383446830801468</v>
      </c>
    </row>
    <row r="542" spans="1:1" x14ac:dyDescent="0.25">
      <c r="A542">
        <f>(1000/'[1]Figure 1'!G542)</f>
        <v>52.383446830801468</v>
      </c>
    </row>
    <row r="543" spans="1:1" x14ac:dyDescent="0.25">
      <c r="A543">
        <f>(1000/'[1]Figure 1'!G543)</f>
        <v>61.919504643962853</v>
      </c>
    </row>
    <row r="544" spans="1:1" x14ac:dyDescent="0.25">
      <c r="A544">
        <f>(1000/'[1]Figure 1'!G544)</f>
        <v>62.656641604010019</v>
      </c>
    </row>
    <row r="545" spans="1:1" x14ac:dyDescent="0.25">
      <c r="A545">
        <f>(1000/'[1]Figure 1'!G545)</f>
        <v>53.022269353128316</v>
      </c>
    </row>
    <row r="546" spans="1:1" x14ac:dyDescent="0.25">
      <c r="A546">
        <f>(1000/'[1]Figure 1'!G546)</f>
        <v>53.022269353128316</v>
      </c>
    </row>
    <row r="547" spans="1:1" x14ac:dyDescent="0.25">
      <c r="A547">
        <f>(1000/'[1]Figure 1'!G547)</f>
        <v>53.022269353128316</v>
      </c>
    </row>
    <row r="548" spans="1:1" x14ac:dyDescent="0.25">
      <c r="A548">
        <f>(1000/'[1]Figure 1'!G548)</f>
        <v>53.022269353128316</v>
      </c>
    </row>
    <row r="549" spans="1:1" x14ac:dyDescent="0.25">
      <c r="A549">
        <f>(1000/'[1]Figure 1'!G549)</f>
        <v>53.022269353128316</v>
      </c>
    </row>
    <row r="550" spans="1:1" x14ac:dyDescent="0.25">
      <c r="A550">
        <f>(1000/'[1]Figure 1'!G550)</f>
        <v>52.52100840336135</v>
      </c>
    </row>
    <row r="551" spans="1:1" x14ac:dyDescent="0.25">
      <c r="A551">
        <f>(1000/'[1]Figure 1'!G551)</f>
        <v>53.022269353128316</v>
      </c>
    </row>
    <row r="552" spans="1:1" x14ac:dyDescent="0.25">
      <c r="A552">
        <f>(1000/'[1]Figure 1'!G552)</f>
        <v>53.022269353128316</v>
      </c>
    </row>
    <row r="553" spans="1:1" x14ac:dyDescent="0.25">
      <c r="A553">
        <f>(1000/'[1]Figure 1'!G553)</f>
        <v>62.656641604010019</v>
      </c>
    </row>
    <row r="554" spans="1:1" x14ac:dyDescent="0.25">
      <c r="A554">
        <f>(1000/'[1]Figure 1'!G554)</f>
        <v>63.411540900443882</v>
      </c>
    </row>
    <row r="555" spans="1:1" x14ac:dyDescent="0.25">
      <c r="A555">
        <f>(1000/'[1]Figure 1'!G555)</f>
        <v>53.648068669527895</v>
      </c>
    </row>
    <row r="556" spans="1:1" x14ac:dyDescent="0.25">
      <c r="A556">
        <f>(1000/'[1]Figure 1'!G556)</f>
        <v>53.648068669527895</v>
      </c>
    </row>
    <row r="557" spans="1:1" x14ac:dyDescent="0.25">
      <c r="A557">
        <f>(1000/'[1]Figure 1'!G557)</f>
        <v>53.648068669527895</v>
      </c>
    </row>
    <row r="558" spans="1:1" x14ac:dyDescent="0.25">
      <c r="A558">
        <f>(1000/'[1]Figure 1'!G558)</f>
        <v>53.648068669527895</v>
      </c>
    </row>
    <row r="559" spans="1:1" x14ac:dyDescent="0.25">
      <c r="A559">
        <f>(1000/'[1]Figure 1'!G559)</f>
        <v>53.163211057947905</v>
      </c>
    </row>
    <row r="560" spans="1:1" x14ac:dyDescent="0.25">
      <c r="A560">
        <f>(1000/'[1]Figure 1'!G560)</f>
        <v>53.648068669527895</v>
      </c>
    </row>
    <row r="561" spans="1:1" x14ac:dyDescent="0.25">
      <c r="A561">
        <f>(1000/'[1]Figure 1'!G561)</f>
        <v>53.648068669527895</v>
      </c>
    </row>
    <row r="562" spans="1:1" x14ac:dyDescent="0.25">
      <c r="A562">
        <f>(1000/'[1]Figure 1'!G562)</f>
        <v>63.411540900443882</v>
      </c>
    </row>
    <row r="563" spans="1:1" x14ac:dyDescent="0.25">
      <c r="A563">
        <f>(1000/'[1]Figure 1'!G563)</f>
        <v>64.184852374839537</v>
      </c>
    </row>
    <row r="564" spans="1:1" x14ac:dyDescent="0.25">
      <c r="A564">
        <f>(1000/'[1]Figure 1'!G564)</f>
        <v>54.318305268875612</v>
      </c>
    </row>
    <row r="565" spans="1:1" x14ac:dyDescent="0.25">
      <c r="A565">
        <f>(1000/'[1]Figure 1'!G565)</f>
        <v>54.318305268875612</v>
      </c>
    </row>
    <row r="566" spans="1:1" x14ac:dyDescent="0.25">
      <c r="A566">
        <f>(1000/'[1]Figure 1'!G566)</f>
        <v>54.318305268875612</v>
      </c>
    </row>
    <row r="567" spans="1:1" x14ac:dyDescent="0.25">
      <c r="A567">
        <f>(1000/'[1]Figure 1'!G567)</f>
        <v>51.840331778123385</v>
      </c>
    </row>
    <row r="568" spans="1:1" x14ac:dyDescent="0.25">
      <c r="A568">
        <f>(1000/'[1]Figure 1'!G568)</f>
        <v>53.821313240043061</v>
      </c>
    </row>
    <row r="569" spans="1:1" x14ac:dyDescent="0.25">
      <c r="A569">
        <f>(1000/'[1]Figure 1'!G569)</f>
        <v>54.318305268875612</v>
      </c>
    </row>
    <row r="570" spans="1:1" x14ac:dyDescent="0.25">
      <c r="A570">
        <f>(1000/'[1]Figure 1'!G570)</f>
        <v>54.318305268875612</v>
      </c>
    </row>
    <row r="571" spans="1:1" x14ac:dyDescent="0.25">
      <c r="A571">
        <f>(1000/'[1]Figure 1'!G571)</f>
        <v>64.184852374839537</v>
      </c>
    </row>
    <row r="572" spans="1:1" x14ac:dyDescent="0.25">
      <c r="A572">
        <f>(1000/'[1]Figure 1'!G572)</f>
        <v>65.019505851755525</v>
      </c>
    </row>
    <row r="573" spans="1:1" x14ac:dyDescent="0.25">
      <c r="A573">
        <f>(1000/'[1]Figure 1'!G573)</f>
        <v>55.005500550055004</v>
      </c>
    </row>
    <row r="574" spans="1:1" x14ac:dyDescent="0.25">
      <c r="A574">
        <f>(1000/'[1]Figure 1'!G574)</f>
        <v>55.005500550055004</v>
      </c>
    </row>
    <row r="575" spans="1:1" x14ac:dyDescent="0.25">
      <c r="A575">
        <f>(1000/'[1]Figure 1'!G575)</f>
        <v>52.493438320209975</v>
      </c>
    </row>
    <row r="576" spans="1:1" x14ac:dyDescent="0.25">
      <c r="A576">
        <f>(1000/'[1]Figure 1'!G576)</f>
        <v>55.005500550055004</v>
      </c>
    </row>
    <row r="577" spans="1:1" x14ac:dyDescent="0.25">
      <c r="A577">
        <f>(1000/'[1]Figure 1'!G577)</f>
        <v>55.005500550055004</v>
      </c>
    </row>
    <row r="578" spans="1:1" x14ac:dyDescent="0.25">
      <c r="A578">
        <f>(1000/'[1]Figure 1'!G578)</f>
        <v>65.019505851755525</v>
      </c>
    </row>
    <row r="579" spans="1:1" x14ac:dyDescent="0.25">
      <c r="A579">
        <f>(1000/'[1]Figure 1'!G579)</f>
        <v>65.832784726793946</v>
      </c>
    </row>
    <row r="580" spans="1:1" x14ac:dyDescent="0.25">
      <c r="A580">
        <f>(1000/'[1]Figure 1'!G580)</f>
        <v>55.710306406685241</v>
      </c>
    </row>
    <row r="581" spans="1:1" x14ac:dyDescent="0.25">
      <c r="A581">
        <f>(1000/'[1]Figure 1'!G581)</f>
        <v>53.163211057947905</v>
      </c>
    </row>
    <row r="582" spans="1:1" x14ac:dyDescent="0.25">
      <c r="A582">
        <f>(1000/'[1]Figure 1'!G582)</f>
        <v>53.163211057947905</v>
      </c>
    </row>
    <row r="583" spans="1:1" x14ac:dyDescent="0.25">
      <c r="A583">
        <f>(1000/'[1]Figure 1'!G583)</f>
        <v>55.710306406685241</v>
      </c>
    </row>
    <row r="584" spans="1:1" x14ac:dyDescent="0.25">
      <c r="A584">
        <f>(1000/'[1]Figure 1'!G584)</f>
        <v>55.710306406685241</v>
      </c>
    </row>
    <row r="585" spans="1:1" x14ac:dyDescent="0.25">
      <c r="A585">
        <f>(1000/'[1]Figure 1'!G585)</f>
        <v>65.832784726793946</v>
      </c>
    </row>
    <row r="586" spans="1:1" x14ac:dyDescent="0.25">
      <c r="A586">
        <f>(1000/'[1]Figure 1'!G586)</f>
        <v>53.850296176628973</v>
      </c>
    </row>
    <row r="587" spans="1:1" x14ac:dyDescent="0.25">
      <c r="A587">
        <f>(1000/'[1]Figure 1'!G587)</f>
        <v>53.850296176628973</v>
      </c>
    </row>
    <row r="588" spans="1:1" x14ac:dyDescent="0.25">
      <c r="A588">
        <f>(1000/'[1]Figure 1'!G588)</f>
        <v>54.555373704309879</v>
      </c>
    </row>
    <row r="589" spans="1:1" x14ac:dyDescent="0.25">
      <c r="A589">
        <f>(1000/'[1]Figure 1'!G589)</f>
        <v>52.631578947368418</v>
      </c>
    </row>
    <row r="590" spans="1:1" x14ac:dyDescent="0.25">
      <c r="A590">
        <f>(1000/'[1]Figure 1'!G590)</f>
        <v>55.248618784530379</v>
      </c>
    </row>
    <row r="591" spans="1:1" x14ac:dyDescent="0.25">
      <c r="A591">
        <f>(1000/'[1]Figure 1'!G591)</f>
        <v>59.206631142687982</v>
      </c>
    </row>
    <row r="592" spans="1:1" x14ac:dyDescent="0.25">
      <c r="A592">
        <f>(1000/'[1]Figure 1'!G592)</f>
        <v>53.333333333333336</v>
      </c>
    </row>
    <row r="593" spans="1:1" x14ac:dyDescent="0.25">
      <c r="A593">
        <f>(1000/'[1]Figure 1'!G593)</f>
        <v>53.333333333333336</v>
      </c>
    </row>
    <row r="594" spans="1:1" x14ac:dyDescent="0.25">
      <c r="A594">
        <f>(1000/'[1]Figure 1'!G594)</f>
        <v>59.988002399520092</v>
      </c>
    </row>
    <row r="595" spans="1:1" x14ac:dyDescent="0.25">
      <c r="A595">
        <f>(1000/'[1]Figure 1'!G595)</f>
        <v>69.34812760055479</v>
      </c>
    </row>
    <row r="596" spans="1:1" x14ac:dyDescent="0.25">
      <c r="A596">
        <f>(1000/'[1]Figure 1'!G596)</f>
        <v>54.054054054054056</v>
      </c>
    </row>
    <row r="597" spans="1:1" x14ac:dyDescent="0.25">
      <c r="A597">
        <f>(1000/'[1]Figure 1'!G597)</f>
        <v>54.054054054054056</v>
      </c>
    </row>
    <row r="598" spans="1:1" x14ac:dyDescent="0.25">
      <c r="A598">
        <f>(1000/'[1]Figure 1'!G598)</f>
        <v>60.8272506082725</v>
      </c>
    </row>
    <row r="599" spans="1:1" x14ac:dyDescent="0.25">
      <c r="A599">
        <f>(1000/'[1]Figure 1'!G599)</f>
        <v>70.274068868587491</v>
      </c>
    </row>
    <row r="600" spans="1:1" x14ac:dyDescent="0.25">
      <c r="A600">
        <f>(1000/'[1]Figure 1'!G600)</f>
        <v>54.794520547945204</v>
      </c>
    </row>
    <row r="601" spans="1:1" x14ac:dyDescent="0.25">
      <c r="A601">
        <f>(1000/'[1]Figure 1'!G601)</f>
        <v>54.794520547945204</v>
      </c>
    </row>
    <row r="602" spans="1:1" x14ac:dyDescent="0.25">
      <c r="A602">
        <f>(1000/'[1]Figure 1'!G602)</f>
        <v>61.652281134401974</v>
      </c>
    </row>
    <row r="603" spans="1:1" x14ac:dyDescent="0.25">
      <c r="A603">
        <f>(1000/'[1]Figure 1'!G603)</f>
        <v>71.225071225071233</v>
      </c>
    </row>
    <row r="604" spans="1:1" x14ac:dyDescent="0.25">
      <c r="A604">
        <f>(1000/'[1]Figure 1'!G604)</f>
        <v>55.555555555555557</v>
      </c>
    </row>
    <row r="605" spans="1:1" x14ac:dyDescent="0.25">
      <c r="A605">
        <f>(1000/'[1]Figure 1'!G605)</f>
        <v>55.555555555555557</v>
      </c>
    </row>
    <row r="606" spans="1:1" x14ac:dyDescent="0.25">
      <c r="A606">
        <f>(1000/'[1]Figure 1'!G606)</f>
        <v>62.5</v>
      </c>
    </row>
    <row r="607" spans="1:1" x14ac:dyDescent="0.25">
      <c r="A607">
        <f>(1000/'[1]Figure 1'!G607)</f>
        <v>72.202166064981952</v>
      </c>
    </row>
    <row r="608" spans="1:1" x14ac:dyDescent="0.25">
      <c r="A608">
        <f>(1000/'[1]Figure 1'!G608)</f>
        <v>56.338028169014088</v>
      </c>
    </row>
    <row r="609" spans="1:1" x14ac:dyDescent="0.25">
      <c r="A609">
        <f>(1000/'[1]Figure 1'!G609)</f>
        <v>73.260073260073256</v>
      </c>
    </row>
    <row r="610" spans="1:1" x14ac:dyDescent="0.25">
      <c r="A610">
        <f>(1000/'[1]Figure 1'!G610)</f>
        <v>55.005500550055004</v>
      </c>
    </row>
    <row r="611" spans="1:1" x14ac:dyDescent="0.25">
      <c r="A611">
        <f>(1000/'[1]Figure 1'!G611)</f>
        <v>55.005500550055004</v>
      </c>
    </row>
    <row r="612" spans="1:1" x14ac:dyDescent="0.25">
      <c r="A612">
        <f>(1000/'[1]Figure 1'!G612)</f>
        <v>55.83472920156337</v>
      </c>
    </row>
    <row r="613" spans="1:1" x14ac:dyDescent="0.25">
      <c r="A613">
        <f>(1000/'[1]Figure 1'!G613)</f>
        <v>55.83472920156337</v>
      </c>
    </row>
    <row r="614" spans="1:1" x14ac:dyDescent="0.25">
      <c r="A614">
        <f>(1000/'[1]Figure 1'!G614)</f>
        <v>56.657223796033996</v>
      </c>
    </row>
    <row r="615" spans="1:1" x14ac:dyDescent="0.25">
      <c r="A615">
        <f>(1000/'[1]Figure 1'!G615)</f>
        <v>56.657223796033996</v>
      </c>
    </row>
    <row r="616" spans="1:1" x14ac:dyDescent="0.25">
      <c r="A616">
        <f>(1000/'[1]Figure 1'!G616)</f>
        <v>57.537399309551212</v>
      </c>
    </row>
    <row r="617" spans="1:1" x14ac:dyDescent="0.25">
      <c r="A617">
        <f>(1000/'[1]Figure 1'!G617)</f>
        <v>57.537399309551212</v>
      </c>
    </row>
    <row r="618" spans="1:1" x14ac:dyDescent="0.25">
      <c r="A618">
        <f>(1000/'[1]Figure 1'!G618)</f>
        <v>58.445353594389246</v>
      </c>
    </row>
    <row r="619" spans="1:1" x14ac:dyDescent="0.25">
      <c r="A619">
        <f>(1000/'[1]Figure 1'!G619)</f>
        <v>58.445353594389246</v>
      </c>
    </row>
    <row r="620" spans="1:1" x14ac:dyDescent="0.25">
      <c r="A620">
        <f>(1000/'[1]Figure 1'!G620)</f>
        <v>59.382422802850357</v>
      </c>
    </row>
    <row r="621" spans="1:1" x14ac:dyDescent="0.25">
      <c r="A621">
        <f>(1000/'[1]Figure 1'!G621)</f>
        <v>49.285362247412522</v>
      </c>
    </row>
    <row r="622" spans="1:1" x14ac:dyDescent="0.25">
      <c r="A622">
        <f>(1000/'[1]Figure 1'!G622)</f>
        <v>49.652432969215489</v>
      </c>
    </row>
    <row r="623" spans="1:1" x14ac:dyDescent="0.25">
      <c r="A623">
        <f>(1000/'[1]Figure 1'!G623)</f>
        <v>50</v>
      </c>
    </row>
    <row r="624" spans="1:1" x14ac:dyDescent="0.25">
      <c r="A624">
        <f>(1000/'[1]Figure 1'!G624)</f>
        <v>50.352467270896277</v>
      </c>
    </row>
    <row r="625" spans="1:1" x14ac:dyDescent="0.25">
      <c r="A625">
        <f>(1000/'[1]Figure 1'!G625)</f>
        <v>51.020408163265301</v>
      </c>
    </row>
    <row r="626" spans="1:1" x14ac:dyDescent="0.25">
      <c r="A626">
        <f>(1000/'[1]Figure 1'!G626)</f>
        <v>50.735667174023334</v>
      </c>
    </row>
    <row r="627" spans="1:1" x14ac:dyDescent="0.25">
      <c r="A627">
        <f>(1000/'[1]Figure 1'!G627)</f>
        <v>51.413881748071979</v>
      </c>
    </row>
    <row r="628" spans="1:1" x14ac:dyDescent="0.25">
      <c r="A628">
        <f>(1000/'[1]Figure 1'!G628)</f>
        <v>51.098620337250892</v>
      </c>
    </row>
    <row r="629" spans="1:1" x14ac:dyDescent="0.25">
      <c r="A629">
        <f>(1000/'[1]Figure 1'!G629)</f>
        <v>51.786639047125846</v>
      </c>
    </row>
    <row r="630" spans="1:1" x14ac:dyDescent="0.25">
      <c r="A630">
        <f>(1000/'[1]Figure 1'!G630)</f>
        <v>42.535091450446615</v>
      </c>
    </row>
    <row r="631" spans="1:1" x14ac:dyDescent="0.25">
      <c r="A631">
        <f>(1000/'[1]Figure 1'!G631)</f>
        <v>52.192066805845513</v>
      </c>
    </row>
    <row r="632" spans="1:1" x14ac:dyDescent="0.25">
      <c r="A632">
        <f>(1000/'[1]Figure 1'!G632)</f>
        <v>42.863266180882988</v>
      </c>
    </row>
    <row r="633" spans="1:1" x14ac:dyDescent="0.25">
      <c r="A633">
        <f>(1000/'[1]Figure 1'!G633)</f>
        <v>50.377833753148614</v>
      </c>
    </row>
    <row r="634" spans="1:1" x14ac:dyDescent="0.25">
      <c r="A634">
        <f>(1000/'[1]Figure 1'!G634)</f>
        <v>52.576235541535226</v>
      </c>
    </row>
    <row r="635" spans="1:1" x14ac:dyDescent="0.25">
      <c r="A635">
        <f>(1000/'[1]Figure 1'!G635)</f>
        <v>43.177892918825563</v>
      </c>
    </row>
    <row r="636" spans="1:1" x14ac:dyDescent="0.25">
      <c r="A636">
        <f>(1000/'[1]Figure 1'!G636)</f>
        <v>50.761421319796959</v>
      </c>
    </row>
    <row r="637" spans="1:1" x14ac:dyDescent="0.25">
      <c r="A637">
        <f>(1000/'[1]Figure 1'!G637)</f>
        <v>50.761421319796959</v>
      </c>
    </row>
    <row r="638" spans="1:1" x14ac:dyDescent="0.25">
      <c r="A638">
        <f>(1000/'[1]Figure 1'!G638)</f>
        <v>52.96610169491526</v>
      </c>
    </row>
    <row r="639" spans="1:1" x14ac:dyDescent="0.25">
      <c r="A639">
        <f>(1000/'[1]Figure 1'!G639)</f>
        <v>43.516100957354219</v>
      </c>
    </row>
    <row r="640" spans="1:1" x14ac:dyDescent="0.25">
      <c r="A640">
        <f>(1000/'[1]Figure 1'!G640)</f>
        <v>51.150895140664957</v>
      </c>
    </row>
    <row r="641" spans="1:1" x14ac:dyDescent="0.25">
      <c r="A641">
        <f>(1000/'[1]Figure 1'!G641)</f>
        <v>51.150895140664957</v>
      </c>
    </row>
    <row r="642" spans="1:1" x14ac:dyDescent="0.25">
      <c r="A642">
        <f>(1000/'[1]Figure 1'!G642)</f>
        <v>51.546391752577321</v>
      </c>
    </row>
    <row r="643" spans="1:1" x14ac:dyDescent="0.25">
      <c r="A643">
        <f>(1000/'[1]Figure 1'!G643)</f>
        <v>51.546391752577321</v>
      </c>
    </row>
    <row r="644" spans="1:1" x14ac:dyDescent="0.25">
      <c r="A644">
        <f>(1000/'[1]Figure 1'!G644)</f>
        <v>51.948051948051948</v>
      </c>
    </row>
    <row r="645" spans="1:1" x14ac:dyDescent="0.25">
      <c r="A645">
        <f>(1000/'[1]Figure 1'!G645)</f>
        <v>52.356020942408371</v>
      </c>
    </row>
    <row r="646" spans="1:1" x14ac:dyDescent="0.25">
      <c r="A646">
        <f>(1000/'[1]Figure 1'!G646)</f>
        <v>42.771599657827203</v>
      </c>
    </row>
    <row r="647" spans="1:1" x14ac:dyDescent="0.25">
      <c r="A647">
        <f>(1000/'[1]Figure 1'!G647)</f>
        <v>43.196544276457885</v>
      </c>
    </row>
    <row r="648" spans="1:1" x14ac:dyDescent="0.25">
      <c r="A648">
        <f>(1000/'[1]Figure 1'!G648)</f>
        <v>42.426813746287657</v>
      </c>
    </row>
    <row r="649" spans="1:1" x14ac:dyDescent="0.25">
      <c r="A649">
        <f>(1000/'[1]Figure 1'!G649)</f>
        <v>43.630017452006975</v>
      </c>
    </row>
    <row r="650" spans="1:1" x14ac:dyDescent="0.25">
      <c r="A650">
        <f>(1000/'[1]Figure 1'!G650)</f>
        <v>42.863266180882988</v>
      </c>
    </row>
    <row r="651" spans="1:1" x14ac:dyDescent="0.25">
      <c r="A651">
        <f>(1000/'[1]Figure 1'!G651)</f>
        <v>43.290043290043286</v>
      </c>
    </row>
    <row r="652" spans="1:1" x14ac:dyDescent="0.25">
      <c r="A652">
        <f>(1000/'[1]Figure 1'!G652)</f>
        <v>43.290043290043286</v>
      </c>
    </row>
    <row r="653" spans="1:1" x14ac:dyDescent="0.25">
      <c r="A653">
        <f>(1000/'[1]Figure 1'!G653)</f>
        <v>44.326241134751776</v>
      </c>
    </row>
    <row r="654" spans="1:1" x14ac:dyDescent="0.25">
      <c r="A654">
        <f>(1000/'[1]Figure 1'!G654)</f>
        <v>44.326241134751776</v>
      </c>
    </row>
    <row r="655" spans="1:1" x14ac:dyDescent="0.25">
      <c r="A655">
        <f>(1000/'[1]Figure 1'!G655)</f>
        <v>50.505050505050505</v>
      </c>
    </row>
    <row r="656" spans="1:1" x14ac:dyDescent="0.25">
      <c r="A656">
        <f>(1000/'[1]Figure 1'!G656)</f>
        <v>43.744531933508313</v>
      </c>
    </row>
    <row r="657" spans="1:1" x14ac:dyDescent="0.25">
      <c r="A657">
        <f>(1000/'[1]Figure 1'!G657)</f>
        <v>43.744531933508313</v>
      </c>
    </row>
    <row r="658" spans="1:1" x14ac:dyDescent="0.25">
      <c r="A658">
        <f>(1000/'[1]Figure 1'!G658)</f>
        <v>44.782803403493062</v>
      </c>
    </row>
    <row r="659" spans="1:1" x14ac:dyDescent="0.25">
      <c r="A659">
        <f>(1000/'[1]Figure 1'!G659)</f>
        <v>44.782803403493062</v>
      </c>
    </row>
    <row r="660" spans="1:1" x14ac:dyDescent="0.25">
      <c r="A660">
        <f>(1000/'[1]Figure 1'!G660)</f>
        <v>51.046452271567127</v>
      </c>
    </row>
    <row r="661" spans="1:1" x14ac:dyDescent="0.25">
      <c r="A661">
        <f>(1000/'[1]Figure 1'!G661)</f>
        <v>44.208664898320066</v>
      </c>
    </row>
    <row r="662" spans="1:1" x14ac:dyDescent="0.25">
      <c r="A662">
        <f>(1000/'[1]Figure 1'!G662)</f>
        <v>44.208664898320066</v>
      </c>
    </row>
    <row r="663" spans="1:1" x14ac:dyDescent="0.25">
      <c r="A663">
        <f>(1000/'[1]Figure 1'!G663)</f>
        <v>45.269352648257133</v>
      </c>
    </row>
    <row r="664" spans="1:1" x14ac:dyDescent="0.25">
      <c r="A664">
        <f>(1000/'[1]Figure 1'!G664)</f>
        <v>45.269352648257133</v>
      </c>
    </row>
    <row r="665" spans="1:1" x14ac:dyDescent="0.25">
      <c r="A665">
        <f>(1000/'[1]Figure 1'!G665)</f>
        <v>51.572975760701389</v>
      </c>
    </row>
    <row r="666" spans="1:1" x14ac:dyDescent="0.25">
      <c r="A666">
        <f>(1000/'[1]Figure 1'!G666)</f>
        <v>45.475216007276039</v>
      </c>
    </row>
    <row r="667" spans="1:1" x14ac:dyDescent="0.25">
      <c r="A667">
        <f>(1000/'[1]Figure 1'!G667)</f>
        <v>44.682752457551388</v>
      </c>
    </row>
    <row r="668" spans="1:1" x14ac:dyDescent="0.25">
      <c r="A668">
        <f>(1000/'[1]Figure 1'!G668)</f>
        <v>44.682752457551388</v>
      </c>
    </row>
    <row r="669" spans="1:1" x14ac:dyDescent="0.25">
      <c r="A669">
        <f>(1000/'[1]Figure 1'!G669)</f>
        <v>45.745654162854528</v>
      </c>
    </row>
    <row r="670" spans="1:1" x14ac:dyDescent="0.25">
      <c r="A670">
        <f>(1000/'[1]Figure 1'!G670)</f>
        <v>45.745654162854528</v>
      </c>
    </row>
    <row r="671" spans="1:1" x14ac:dyDescent="0.25">
      <c r="A671">
        <f>(1000/'[1]Figure 1'!G671)</f>
        <v>45.745654162854528</v>
      </c>
    </row>
    <row r="672" spans="1:1" x14ac:dyDescent="0.25">
      <c r="A672">
        <f>(1000/'[1]Figure 1'!G672)</f>
        <v>52.137643378519293</v>
      </c>
    </row>
    <row r="673" spans="1:1" x14ac:dyDescent="0.25">
      <c r="A673">
        <f>(1000/'[1]Figure 1'!G673)</f>
        <v>52.137643378519293</v>
      </c>
    </row>
    <row r="674" spans="1:1" x14ac:dyDescent="0.25">
      <c r="A674">
        <f>(1000/'[1]Figure 1'!G674)</f>
        <v>45.955882352941174</v>
      </c>
    </row>
    <row r="675" spans="1:1" x14ac:dyDescent="0.25">
      <c r="A675">
        <f>(1000/'[1]Figure 1'!G675)</f>
        <v>44.091710758377424</v>
      </c>
    </row>
    <row r="676" spans="1:1" x14ac:dyDescent="0.25">
      <c r="A676">
        <f>(1000/'[1]Figure 1'!G676)</f>
        <v>45.167118337850042</v>
      </c>
    </row>
    <row r="677" spans="1:1" x14ac:dyDescent="0.25">
      <c r="A677">
        <f>(1000/'[1]Figure 1'!G677)</f>
        <v>46.232085067036529</v>
      </c>
    </row>
    <row r="678" spans="1:1" x14ac:dyDescent="0.25">
      <c r="A678">
        <f>(1000/'[1]Figure 1'!G678)</f>
        <v>46.232085067036529</v>
      </c>
    </row>
    <row r="679" spans="1:1" x14ac:dyDescent="0.25">
      <c r="A679">
        <f>(1000/'[1]Figure 1'!G679)</f>
        <v>46.232085067036529</v>
      </c>
    </row>
    <row r="680" spans="1:1" x14ac:dyDescent="0.25">
      <c r="A680">
        <f>(1000/'[1]Figure 1'!G680)</f>
        <v>46.446818392940081</v>
      </c>
    </row>
    <row r="681" spans="1:1" x14ac:dyDescent="0.25">
      <c r="A681">
        <f>(1000/'[1]Figure 1'!G681)</f>
        <v>52.687038988408851</v>
      </c>
    </row>
    <row r="682" spans="1:1" x14ac:dyDescent="0.25">
      <c r="A682">
        <f>(1000/'[1]Figure 1'!G682)</f>
        <v>52.687038988408851</v>
      </c>
    </row>
    <row r="683" spans="1:1" x14ac:dyDescent="0.25">
      <c r="A683">
        <f>(1000/'[1]Figure 1'!G683)</f>
        <v>46.446818392940081</v>
      </c>
    </row>
    <row r="684" spans="1:1" x14ac:dyDescent="0.25">
      <c r="A684">
        <f>(1000/'[1]Figure 1'!G684)</f>
        <v>44.563279857397504</v>
      </c>
    </row>
    <row r="685" spans="1:1" x14ac:dyDescent="0.25">
      <c r="A685">
        <f>(1000/'[1]Figure 1'!G685)</f>
        <v>45.662100456621005</v>
      </c>
    </row>
    <row r="686" spans="1:1" x14ac:dyDescent="0.25">
      <c r="A686">
        <f>(1000/'[1]Figure 1'!G686)</f>
        <v>46.728971962616825</v>
      </c>
    </row>
    <row r="687" spans="1:1" x14ac:dyDescent="0.25">
      <c r="A687">
        <f>(1000/'[1]Figure 1'!G687)</f>
        <v>46.728971962616825</v>
      </c>
    </row>
    <row r="688" spans="1:1" x14ac:dyDescent="0.25">
      <c r="A688">
        <f>(1000/'[1]Figure 1'!G688)</f>
        <v>46.728971962616825</v>
      </c>
    </row>
    <row r="689" spans="1:1" x14ac:dyDescent="0.25">
      <c r="A689">
        <f>(1000/'[1]Figure 1'!G689)</f>
        <v>46.948356807511736</v>
      </c>
    </row>
    <row r="690" spans="1:1" x14ac:dyDescent="0.25">
      <c r="A690">
        <f>(1000/'[1]Figure 1'!G690)</f>
        <v>46.948356807511736</v>
      </c>
    </row>
    <row r="691" spans="1:1" x14ac:dyDescent="0.25">
      <c r="A691">
        <f>(1000/'[1]Figure 1'!G691)</f>
        <v>53.248136315228962</v>
      </c>
    </row>
    <row r="692" spans="1:1" x14ac:dyDescent="0.25">
      <c r="A692">
        <f>(1000/'[1]Figure 1'!G692)</f>
        <v>53.248136315228962</v>
      </c>
    </row>
    <row r="693" spans="1:1" x14ac:dyDescent="0.25">
      <c r="A693">
        <f>(1000/'[1]Figure 1'!G693)</f>
        <v>46.948356807511736</v>
      </c>
    </row>
    <row r="694" spans="1:1" x14ac:dyDescent="0.25">
      <c r="A694">
        <f>(1000/'[1]Figure 1'!G694)</f>
        <v>45.045045045045043</v>
      </c>
    </row>
    <row r="695" spans="1:1" x14ac:dyDescent="0.25">
      <c r="A695">
        <f>(1000/'[1]Figure 1'!G695)</f>
        <v>47.258979206049148</v>
      </c>
    </row>
    <row r="696" spans="1:1" x14ac:dyDescent="0.25">
      <c r="A696">
        <f>(1000/'[1]Figure 1'!G696)</f>
        <v>47.258979206049148</v>
      </c>
    </row>
    <row r="697" spans="1:1" x14ac:dyDescent="0.25">
      <c r="A697">
        <f>(1000/'[1]Figure 1'!G697)</f>
        <v>47.258979206049148</v>
      </c>
    </row>
    <row r="698" spans="1:1" x14ac:dyDescent="0.25">
      <c r="A698">
        <f>(1000/'[1]Figure 1'!G698)</f>
        <v>47.483380816714153</v>
      </c>
    </row>
    <row r="699" spans="1:1" x14ac:dyDescent="0.25">
      <c r="A699">
        <f>(1000/'[1]Figure 1'!G699)</f>
        <v>47.483380816714153</v>
      </c>
    </row>
    <row r="700" spans="1:1" x14ac:dyDescent="0.25">
      <c r="A700">
        <f>(1000/'[1]Figure 1'!G700)</f>
        <v>52.742616033755269</v>
      </c>
    </row>
    <row r="701" spans="1:1" x14ac:dyDescent="0.25">
      <c r="A701">
        <f>(1000/'[1]Figure 1'!G701)</f>
        <v>53.850296176628973</v>
      </c>
    </row>
    <row r="702" spans="1:1" x14ac:dyDescent="0.25">
      <c r="A702">
        <f>(1000/'[1]Figure 1'!G702)</f>
        <v>47.483380816714153</v>
      </c>
    </row>
    <row r="703" spans="1:1" x14ac:dyDescent="0.25">
      <c r="A703">
        <f>(1000/'[1]Figure 1'!G703)</f>
        <v>45.703839122486293</v>
      </c>
    </row>
    <row r="704" spans="1:1" x14ac:dyDescent="0.25">
      <c r="A704">
        <f>(1000/'[1]Figure 1'!G704)</f>
        <v>45.558086560364465</v>
      </c>
    </row>
    <row r="705" spans="1:1" x14ac:dyDescent="0.25">
      <c r="A705">
        <f>(1000/'[1]Figure 1'!G705)</f>
        <v>45.558086560364465</v>
      </c>
    </row>
    <row r="706" spans="1:1" x14ac:dyDescent="0.25">
      <c r="A706">
        <f>(1000/'[1]Figure 1'!G706)</f>
        <v>47.778308647873864</v>
      </c>
    </row>
    <row r="707" spans="1:1" x14ac:dyDescent="0.25">
      <c r="A707">
        <f>(1000/'[1]Figure 1'!G707)</f>
        <v>47.778308647873864</v>
      </c>
    </row>
    <row r="708" spans="1:1" x14ac:dyDescent="0.25">
      <c r="A708">
        <f>(1000/'[1]Figure 1'!G708)</f>
        <v>47.778308647873864</v>
      </c>
    </row>
    <row r="709" spans="1:1" x14ac:dyDescent="0.25">
      <c r="A709">
        <f>(1000/'[1]Figure 1'!G709)</f>
        <v>48.007681228996645</v>
      </c>
    </row>
    <row r="710" spans="1:1" x14ac:dyDescent="0.25">
      <c r="A710">
        <f>(1000/'[1]Figure 1'!G710)</f>
        <v>48.007681228996645</v>
      </c>
    </row>
    <row r="711" spans="1:1" x14ac:dyDescent="0.25">
      <c r="A711">
        <f>(1000/'[1]Figure 1'!G711)</f>
        <v>53.333333333333336</v>
      </c>
    </row>
    <row r="712" spans="1:1" x14ac:dyDescent="0.25">
      <c r="A712">
        <f>(1000/'[1]Figure 1'!G712)</f>
        <v>54.436581382689162</v>
      </c>
    </row>
    <row r="713" spans="1:1" x14ac:dyDescent="0.25">
      <c r="A713">
        <f>(1000/'[1]Figure 1'!G713)</f>
        <v>46.232085067036529</v>
      </c>
    </row>
    <row r="714" spans="1:1" x14ac:dyDescent="0.25">
      <c r="A714">
        <f>(1000/'[1]Figure 1'!G714)</f>
        <v>46.232085067036529</v>
      </c>
    </row>
    <row r="715" spans="1:1" x14ac:dyDescent="0.25">
      <c r="A715">
        <f>(1000/'[1]Figure 1'!G715)</f>
        <v>46.232085067036529</v>
      </c>
    </row>
    <row r="716" spans="1:1" x14ac:dyDescent="0.25">
      <c r="A716">
        <f>(1000/'[1]Figure 1'!G716)</f>
        <v>46.061722708429294</v>
      </c>
    </row>
    <row r="717" spans="1:1" x14ac:dyDescent="0.25">
      <c r="A717">
        <f>(1000/'[1]Figure 1'!G717)</f>
        <v>48.309178743961354</v>
      </c>
    </row>
    <row r="718" spans="1:1" x14ac:dyDescent="0.25">
      <c r="A718">
        <f>(1000/'[1]Figure 1'!G718)</f>
        <v>48.543689320388346</v>
      </c>
    </row>
    <row r="719" spans="1:1" x14ac:dyDescent="0.25">
      <c r="A719">
        <f>(1000/'[1]Figure 1'!G719)</f>
        <v>53.937432578209282</v>
      </c>
    </row>
    <row r="720" spans="1:1" x14ac:dyDescent="0.25">
      <c r="A720">
        <f>(1000/'[1]Figure 1'!G720)</f>
        <v>55.066079295154182</v>
      </c>
    </row>
    <row r="721" spans="1:1" x14ac:dyDescent="0.25">
      <c r="A721">
        <f>(1000/'[1]Figure 1'!G721)</f>
        <v>46.750818139317438</v>
      </c>
    </row>
    <row r="722" spans="1:1" x14ac:dyDescent="0.25">
      <c r="A722">
        <f>(1000/'[1]Figure 1'!G722)</f>
        <v>46.750818139317438</v>
      </c>
    </row>
    <row r="723" spans="1:1" x14ac:dyDescent="0.25">
      <c r="A723">
        <f>(1000/'[1]Figure 1'!G723)</f>
        <v>46.750818139317438</v>
      </c>
    </row>
    <row r="724" spans="1:1" x14ac:dyDescent="0.25">
      <c r="A724">
        <f>(1000/'[1]Figure 1'!G724)</f>
        <v>46.598322460391422</v>
      </c>
    </row>
    <row r="725" spans="1:1" x14ac:dyDescent="0.25">
      <c r="A725">
        <f>(1000/'[1]Figure 1'!G725)</f>
        <v>48.851978505129459</v>
      </c>
    </row>
    <row r="726" spans="1:1" x14ac:dyDescent="0.25">
      <c r="A726">
        <f>(1000/'[1]Figure 1'!G726)</f>
        <v>54.555373704309879</v>
      </c>
    </row>
    <row r="727" spans="1:1" x14ac:dyDescent="0.25">
      <c r="A727">
        <f>(1000/'[1]Figure 1'!G727)</f>
        <v>55.679287305122493</v>
      </c>
    </row>
    <row r="728" spans="1:1" x14ac:dyDescent="0.25">
      <c r="A728">
        <f>(1000/'[1]Figure 1'!G728)</f>
        <v>47.281323877068559</v>
      </c>
    </row>
    <row r="729" spans="1:1" x14ac:dyDescent="0.25">
      <c r="A729">
        <f>(1000/'[1]Figure 1'!G729)</f>
        <v>47.281323877068559</v>
      </c>
    </row>
    <row r="730" spans="1:1" x14ac:dyDescent="0.25">
      <c r="A730">
        <f>(1000/'[1]Figure 1'!G730)</f>
        <v>47.281323877068559</v>
      </c>
    </row>
    <row r="731" spans="1:1" x14ac:dyDescent="0.25">
      <c r="A731">
        <f>(1000/'[1]Figure 1'!G731)</f>
        <v>47.281323877068559</v>
      </c>
    </row>
    <row r="732" spans="1:1" x14ac:dyDescent="0.25">
      <c r="A732">
        <f>(1000/'[1]Figure 1'!G732)</f>
        <v>47.125353440150803</v>
      </c>
    </row>
    <row r="733" spans="1:1" x14ac:dyDescent="0.25">
      <c r="A733">
        <f>(1000/'[1]Figure 1'!G733)</f>
        <v>47.824007651841221</v>
      </c>
    </row>
    <row r="734" spans="1:1" x14ac:dyDescent="0.25">
      <c r="A734">
        <f>(1000/'[1]Figure 1'!G734)</f>
        <v>47.824007651841221</v>
      </c>
    </row>
    <row r="735" spans="1:1" x14ac:dyDescent="0.25">
      <c r="A735">
        <f>(1000/'[1]Figure 1'!G735)</f>
        <v>47.824007651841221</v>
      </c>
    </row>
    <row r="736" spans="1:1" x14ac:dyDescent="0.25">
      <c r="A736">
        <f>(1000/'[1]Figure 1'!G736)</f>
        <v>47.824007651841221</v>
      </c>
    </row>
    <row r="737" spans="1:1" x14ac:dyDescent="0.25">
      <c r="A737">
        <f>(1000/'[1]Figure 1'!G737)</f>
        <v>47.824007651841221</v>
      </c>
    </row>
    <row r="738" spans="1:1" x14ac:dyDescent="0.25">
      <c r="A738">
        <f>(1000/'[1]Figure 1'!G738)</f>
        <v>58.377116170461186</v>
      </c>
    </row>
    <row r="739" spans="1:1" x14ac:dyDescent="0.25">
      <c r="A739">
        <f>(1000/'[1]Figure 1'!G739)</f>
        <v>55.803571428571423</v>
      </c>
    </row>
    <row r="740" spans="1:1" x14ac:dyDescent="0.25">
      <c r="A740">
        <f>(1000/'[1]Figure 1'!G740)</f>
        <v>48.379293662312527</v>
      </c>
    </row>
    <row r="741" spans="1:1" x14ac:dyDescent="0.25">
      <c r="A741">
        <f>(1000/'[1]Figure 1'!G741)</f>
        <v>48.379293662312527</v>
      </c>
    </row>
    <row r="742" spans="1:1" x14ac:dyDescent="0.25">
      <c r="A742">
        <f>(1000/'[1]Figure 1'!G742)</f>
        <v>48.379293662312527</v>
      </c>
    </row>
    <row r="743" spans="1:1" x14ac:dyDescent="0.25">
      <c r="A743">
        <f>(1000/'[1]Figure 1'!G743)</f>
        <v>48.379293662312527</v>
      </c>
    </row>
    <row r="744" spans="1:1" x14ac:dyDescent="0.25">
      <c r="A744">
        <f>(1000/'[1]Figure 1'!G744)</f>
        <v>48.947626040137052</v>
      </c>
    </row>
    <row r="745" spans="1:1" x14ac:dyDescent="0.25">
      <c r="A745">
        <f>(1000/'[1]Figure 1'!G745)</f>
        <v>48.947626040137052</v>
      </c>
    </row>
    <row r="746" spans="1:1" x14ac:dyDescent="0.25">
      <c r="A746">
        <f>(1000/'[1]Figure 1'!G746)</f>
        <v>48.947626040137052</v>
      </c>
    </row>
    <row r="747" spans="1:1" x14ac:dyDescent="0.25">
      <c r="A747">
        <f>(1000/'[1]Figure 1'!G747)</f>
        <v>48.947626040137052</v>
      </c>
    </row>
    <row r="748" spans="1:1" x14ac:dyDescent="0.25">
      <c r="A748">
        <f>(1000/'[1]Figure 1'!G748)</f>
        <v>49.529470034670624</v>
      </c>
    </row>
    <row r="749" spans="1:1" x14ac:dyDescent="0.25">
      <c r="A749">
        <f>(1000/'[1]Figure 1'!G749)</f>
        <v>49.529470034670624</v>
      </c>
    </row>
    <row r="750" spans="1:1" x14ac:dyDescent="0.25">
      <c r="A750">
        <f>(1000/'[1]Figure 1'!G750)</f>
        <v>49.529470034670624</v>
      </c>
    </row>
    <row r="751" spans="1:1" x14ac:dyDescent="0.25">
      <c r="A751">
        <f>(1000/'[1]Figure 1'!G751)</f>
        <v>49.529470034670624</v>
      </c>
    </row>
    <row r="752" spans="1:1" x14ac:dyDescent="0.25">
      <c r="A752">
        <f>(1000/'[1]Figure 1'!G752)</f>
        <v>50.125313283208023</v>
      </c>
    </row>
    <row r="753" spans="1:1" x14ac:dyDescent="0.25">
      <c r="A753">
        <f>(1000/'[1]Figure 1'!G753)</f>
        <v>50.125313283208023</v>
      </c>
    </row>
    <row r="754" spans="1:1" x14ac:dyDescent="0.25">
      <c r="A754">
        <f>(1000/'[1]Figure 1'!G754)</f>
        <v>56.882821387940851</v>
      </c>
    </row>
    <row r="755" spans="1:1" x14ac:dyDescent="0.25">
      <c r="A755">
        <f>(1000/'[1]Figure 1'!G755)</f>
        <v>58.139534883720934</v>
      </c>
    </row>
    <row r="756" spans="1:1" x14ac:dyDescent="0.25">
      <c r="A756">
        <f>(1000/'[1]Figure 1'!G756)</f>
        <v>59.031877213695388</v>
      </c>
    </row>
    <row r="757" spans="1:1" x14ac:dyDescent="0.25">
      <c r="A757">
        <f>(1000/'[1]Figure 1'!G757)</f>
        <v>61.236987140232706</v>
      </c>
    </row>
    <row r="758" spans="1:1" x14ac:dyDescent="0.25">
      <c r="A758">
        <f>(1000/'[1]Figure 1'!G758)</f>
        <v>63.81620931716656</v>
      </c>
    </row>
    <row r="759" spans="1:1" x14ac:dyDescent="0.25">
      <c r="A759">
        <f>(1000/'[1]Figure 1'!G759)</f>
        <v>64.267352185089976</v>
      </c>
    </row>
    <row r="760" spans="1:1" x14ac:dyDescent="0.25">
      <c r="A760">
        <f>(1000/'[1]Figure 1'!G760)</f>
        <v>65.231572080887148</v>
      </c>
    </row>
    <row r="761" spans="1:1" x14ac:dyDescent="0.25">
      <c r="A761">
        <f>(1000/'[1]Figure 1'!G761)</f>
        <v>66.181336863004631</v>
      </c>
    </row>
    <row r="762" spans="1:1" x14ac:dyDescent="0.25">
      <c r="A762">
        <f>(1000/'[1]Figure 1'!G762)</f>
        <v>66.181336863004631</v>
      </c>
    </row>
    <row r="763" spans="1:1" x14ac:dyDescent="0.25">
      <c r="A763">
        <f>(1000/'[1]Figure 1'!G763)</f>
        <v>67.159167226326389</v>
      </c>
    </row>
    <row r="764" spans="1:1" x14ac:dyDescent="0.25">
      <c r="A764">
        <f>(1000/'[1]Figure 1'!G764)</f>
        <v>68.166325835037497</v>
      </c>
    </row>
    <row r="765" spans="1:1" x14ac:dyDescent="0.25">
      <c r="A765">
        <f>(1000/'[1]Figure 1'!G765)</f>
        <v>69.252077562326875</v>
      </c>
    </row>
    <row r="766" spans="1:1" x14ac:dyDescent="0.25">
      <c r="A766">
        <f>(1000/'[1]Figure 1'!G766)</f>
        <v>70.323488045007025</v>
      </c>
    </row>
    <row r="767" spans="1:1" x14ac:dyDescent="0.25">
      <c r="A767">
        <f>(1000/'[1]Figure 1'!G767)</f>
        <v>64.391500321957508</v>
      </c>
    </row>
    <row r="768" spans="1:1" x14ac:dyDescent="0.25">
      <c r="A768">
        <f>(1000/'[1]Figure 1'!G768)</f>
        <v>65.530799475753611</v>
      </c>
    </row>
    <row r="769" spans="1:1" x14ac:dyDescent="0.25">
      <c r="A769">
        <f>(1000/'[1]Figure 1'!G769)</f>
        <v>58.241118229469997</v>
      </c>
    </row>
    <row r="770" spans="1:1" x14ac:dyDescent="0.25">
      <c r="A770">
        <f>(1000/'[1]Figure 1'!G770)</f>
        <v>66.666666666666671</v>
      </c>
    </row>
    <row r="771" spans="1:1" x14ac:dyDescent="0.25">
      <c r="A771">
        <f>(1000/'[1]Figure 1'!G771)</f>
        <v>63.171193935565384</v>
      </c>
    </row>
    <row r="772" spans="1:1" x14ac:dyDescent="0.25">
      <c r="A772">
        <f>(1000/'[1]Figure 1'!G772)</f>
        <v>59.276822762299936</v>
      </c>
    </row>
    <row r="773" spans="1:1" x14ac:dyDescent="0.25">
      <c r="A773">
        <f>(1000/'[1]Figure 1'!G773)</f>
        <v>67.84260515603799</v>
      </c>
    </row>
    <row r="774" spans="1:1" x14ac:dyDescent="0.25">
      <c r="A774">
        <f>(1000/'[1]Figure 1'!G774)</f>
        <v>64.267352185089976</v>
      </c>
    </row>
    <row r="775" spans="1:1" x14ac:dyDescent="0.25">
      <c r="A775">
        <f>(1000/'[1]Figure 1'!G775)</f>
        <v>60.350030175015085</v>
      </c>
    </row>
    <row r="776" spans="1:1" x14ac:dyDescent="0.25">
      <c r="A776">
        <f>(1000/'[1]Figure 1'!G776)</f>
        <v>65.44502617801048</v>
      </c>
    </row>
    <row r="777" spans="1:1" x14ac:dyDescent="0.25">
      <c r="A777">
        <f>(1000/'[1]Figure 1'!G777)</f>
        <v>69.108500345542495</v>
      </c>
    </row>
    <row r="778" spans="1:1" x14ac:dyDescent="0.25">
      <c r="A778">
        <f>(1000/'[1]Figure 1'!G778)</f>
        <v>65.44502617801048</v>
      </c>
    </row>
    <row r="779" spans="1:1" x14ac:dyDescent="0.25">
      <c r="A779">
        <f>(1000/'[1]Figure 1'!G779)</f>
        <v>66.181336863004631</v>
      </c>
    </row>
    <row r="780" spans="1:1" x14ac:dyDescent="0.25">
      <c r="A780">
        <f>(1000/'[1]Figure 1'!G780)</f>
        <v>67.658998646820024</v>
      </c>
    </row>
    <row r="781" spans="1:1" x14ac:dyDescent="0.25">
      <c r="A781">
        <f>(1000/'[1]Figure 1'!G781)</f>
        <v>61.462814996926859</v>
      </c>
    </row>
    <row r="782" spans="1:1" x14ac:dyDescent="0.25">
      <c r="A782">
        <f>(1000/'[1]Figure 1'!G782)</f>
        <v>66.666666666666671</v>
      </c>
    </row>
    <row r="783" spans="1:1" x14ac:dyDescent="0.25">
      <c r="A783">
        <f>(1000/'[1]Figure 1'!G783)</f>
        <v>66.666666666666671</v>
      </c>
    </row>
    <row r="784" spans="1:1" x14ac:dyDescent="0.25">
      <c r="A784">
        <f>(1000/'[1]Figure 1'!G784)</f>
        <v>67.385444743935309</v>
      </c>
    </row>
    <row r="785" spans="1:1" x14ac:dyDescent="0.25">
      <c r="A785">
        <f>(1000/'[1]Figure 1'!G785)</f>
        <v>68.870523415977956</v>
      </c>
    </row>
    <row r="786" spans="1:1" x14ac:dyDescent="0.25">
      <c r="A786">
        <f>(1000/'[1]Figure 1'!G786)</f>
        <v>68.870523415977956</v>
      </c>
    </row>
    <row r="787" spans="1:1" x14ac:dyDescent="0.25">
      <c r="A787">
        <f>(1000/'[1]Figure 1'!G787)</f>
        <v>62.656641604010019</v>
      </c>
    </row>
    <row r="788" spans="1:1" x14ac:dyDescent="0.25">
      <c r="A788">
        <f>(1000/'[1]Figure 1'!G788)</f>
        <v>67.934782608695656</v>
      </c>
    </row>
    <row r="789" spans="1:1" x14ac:dyDescent="0.25">
      <c r="A789">
        <f>(1000/'[1]Figure 1'!G789)</f>
        <v>67.934782608695656</v>
      </c>
    </row>
    <row r="790" spans="1:1" x14ac:dyDescent="0.25">
      <c r="A790">
        <f>(1000/'[1]Figure 1'!G790)</f>
        <v>68.681318681318686</v>
      </c>
    </row>
    <row r="791" spans="1:1" x14ac:dyDescent="0.25">
      <c r="A791">
        <f>(1000/'[1]Figure 1'!G791)</f>
        <v>70.921985815602838</v>
      </c>
    </row>
    <row r="792" spans="1:1" x14ac:dyDescent="0.25">
      <c r="A792">
        <f>(1000/'[1]Figure 1'!G792)</f>
        <v>68.681318681318686</v>
      </c>
    </row>
    <row r="793" spans="1:1" x14ac:dyDescent="0.25">
      <c r="A793">
        <f>(1000/'[1]Figure 1'!G793)</f>
        <v>69.832402234636874</v>
      </c>
    </row>
    <row r="794" spans="1:1" x14ac:dyDescent="0.25">
      <c r="A794">
        <f>(1000/'[1]Figure 1'!G794)</f>
        <v>74.738415545590428</v>
      </c>
    </row>
    <row r="795" spans="1:1" x14ac:dyDescent="0.25">
      <c r="A795">
        <f>(1000/'[1]Figure 1'!G795)</f>
        <v>70.175438596491233</v>
      </c>
    </row>
    <row r="796" spans="1:1" x14ac:dyDescent="0.25">
      <c r="A796">
        <f>(1000/'[1]Figure 1'!G796)</f>
        <v>70.175438596491233</v>
      </c>
    </row>
    <row r="797" spans="1:1" x14ac:dyDescent="0.25">
      <c r="A797">
        <f>(1000/'[1]Figure 1'!G797)</f>
        <v>63.856960408684543</v>
      </c>
    </row>
    <row r="798" spans="1:1" x14ac:dyDescent="0.25">
      <c r="A798">
        <f>(1000/'[1]Figure 1'!G798)</f>
        <v>69.252077562326875</v>
      </c>
    </row>
    <row r="799" spans="1:1" x14ac:dyDescent="0.25">
      <c r="A799">
        <f>(1000/'[1]Figure 1'!G799)</f>
        <v>75.018754688672161</v>
      </c>
    </row>
    <row r="800" spans="1:1" x14ac:dyDescent="0.25">
      <c r="A800">
        <f>(1000/'[1]Figure 1'!G800)</f>
        <v>69.979006298110576</v>
      </c>
    </row>
    <row r="801" spans="1:1" x14ac:dyDescent="0.25">
      <c r="A801">
        <f>(1000/'[1]Figure 1'!G801)</f>
        <v>72.306579898770792</v>
      </c>
    </row>
    <row r="802" spans="1:1" x14ac:dyDescent="0.25">
      <c r="A802">
        <f>(1000/'[1]Figure 1'!G802)</f>
        <v>69.979006298110576</v>
      </c>
    </row>
    <row r="803" spans="1:1" x14ac:dyDescent="0.25">
      <c r="A803">
        <f>(1000/'[1]Figure 1'!G803)</f>
        <v>71.17437722419929</v>
      </c>
    </row>
    <row r="804" spans="1:1" x14ac:dyDescent="0.25">
      <c r="A804">
        <f>(1000/'[1]Figure 1'!G804)</f>
        <v>76.161462300076153</v>
      </c>
    </row>
    <row r="805" spans="1:1" x14ac:dyDescent="0.25">
      <c r="A805">
        <f>(1000/'[1]Figure 1'!G805)</f>
        <v>71.530758226037193</v>
      </c>
    </row>
    <row r="806" spans="1:1" x14ac:dyDescent="0.25">
      <c r="A806">
        <f>(1000/'[1]Figure 1'!G806)</f>
        <v>71.530758226037193</v>
      </c>
    </row>
    <row r="807" spans="1:1" x14ac:dyDescent="0.25">
      <c r="A807">
        <f>(1000/'[1]Figure 1'!G807)</f>
        <v>76.452599388379198</v>
      </c>
    </row>
    <row r="808" spans="1:1" x14ac:dyDescent="0.25">
      <c r="A808">
        <f>(1000/'[1]Figure 1'!G808)</f>
        <v>71.377587437544605</v>
      </c>
    </row>
    <row r="809" spans="1:1" x14ac:dyDescent="0.25">
      <c r="A809">
        <f>(1000/'[1]Figure 1'!G809)</f>
        <v>70.571630204657723</v>
      </c>
    </row>
    <row r="810" spans="1:1" x14ac:dyDescent="0.25">
      <c r="A810">
        <f>(1000/'[1]Figure 1'!G810)</f>
        <v>73.746312684365776</v>
      </c>
    </row>
    <row r="811" spans="1:1" x14ac:dyDescent="0.25">
      <c r="A811">
        <f>(1000/'[1]Figure 1'!G811)</f>
        <v>71.377587437544605</v>
      </c>
    </row>
    <row r="812" spans="1:1" x14ac:dyDescent="0.25">
      <c r="A812">
        <f>(1000/'[1]Figure 1'!G812)</f>
        <v>72.568940493468801</v>
      </c>
    </row>
    <row r="813" spans="1:1" x14ac:dyDescent="0.25">
      <c r="A813">
        <f>(1000/'[1]Figure 1'!G813)</f>
        <v>77.639751552795033</v>
      </c>
    </row>
    <row r="814" spans="1:1" x14ac:dyDescent="0.25">
      <c r="A814">
        <f>(1000/'[1]Figure 1'!G814)</f>
        <v>72.939460247994163</v>
      </c>
    </row>
    <row r="815" spans="1:1" x14ac:dyDescent="0.25">
      <c r="A815">
        <f>(1000/'[1]Figure 1'!G815)</f>
        <v>78.003120124804994</v>
      </c>
    </row>
    <row r="816" spans="1:1" x14ac:dyDescent="0.25">
      <c r="A816">
        <f>(1000/'[1]Figure 1'!G816)</f>
        <v>72.780203784570602</v>
      </c>
    </row>
    <row r="817" spans="1:1" x14ac:dyDescent="0.25">
      <c r="A817">
        <f>(1000/'[1]Figure 1'!G817)</f>
        <v>78.003120124804994</v>
      </c>
    </row>
    <row r="818" spans="1:1" x14ac:dyDescent="0.25">
      <c r="A818">
        <f>(1000/'[1]Figure 1'!G818)</f>
        <v>71.994240460763137</v>
      </c>
    </row>
    <row r="819" spans="1:1" x14ac:dyDescent="0.25">
      <c r="A819">
        <f>(1000/'[1]Figure 1'!G819)</f>
        <v>74.019245003700959</v>
      </c>
    </row>
    <row r="820" spans="1:1" x14ac:dyDescent="0.25">
      <c r="A820">
        <f>(1000/'[1]Figure 1'!G820)</f>
        <v>79.176563737133804</v>
      </c>
    </row>
    <row r="821" spans="1:1" x14ac:dyDescent="0.25">
      <c r="A821">
        <f>(1000/'[1]Figure 1'!G821)</f>
        <v>79.617834394904449</v>
      </c>
    </row>
    <row r="822" spans="1:1" x14ac:dyDescent="0.25">
      <c r="A822">
        <f>(1000/'[1]Figure 1'!G822)</f>
        <v>74.294205052005935</v>
      </c>
    </row>
    <row r="823" spans="1:1" x14ac:dyDescent="0.25">
      <c r="A823">
        <f>(1000/'[1]Figure 1'!G823)</f>
        <v>79.617834394904449</v>
      </c>
    </row>
    <row r="824" spans="1:1" x14ac:dyDescent="0.25">
      <c r="A824">
        <f>(1000/'[1]Figure 1'!G824)</f>
        <v>73.475385745775171</v>
      </c>
    </row>
    <row r="825" spans="1:1" x14ac:dyDescent="0.25">
      <c r="A825">
        <f>(1000/'[1]Figure 1'!G825)</f>
        <v>75.528700906344412</v>
      </c>
    </row>
    <row r="826" spans="1:1" x14ac:dyDescent="0.25">
      <c r="A826">
        <f>(1000/'[1]Figure 1'!G826)</f>
        <v>77.579519006982153</v>
      </c>
    </row>
    <row r="827" spans="1:1" x14ac:dyDescent="0.25">
      <c r="A827">
        <f>(1000/'[1]Figure 1'!G827)</f>
        <v>81.234768480909821</v>
      </c>
    </row>
    <row r="828" spans="1:1" x14ac:dyDescent="0.25">
      <c r="A828">
        <f>(1000/'[1]Figure 1'!G828)</f>
        <v>75.018754688672161</v>
      </c>
    </row>
    <row r="829" spans="1:1" x14ac:dyDescent="0.25">
      <c r="A829">
        <f>(1000/'[1]Figure 1'!G829)</f>
        <v>79.176563737133804</v>
      </c>
    </row>
    <row r="830" spans="1:1" x14ac:dyDescent="0.25">
      <c r="A830">
        <f>(1000/'[1]Figure 1'!G830)</f>
        <v>82.987551867219906</v>
      </c>
    </row>
    <row r="831" spans="1:1" x14ac:dyDescent="0.25">
      <c r="A831">
        <f>(1000/'[1]Figure 1'!G831)</f>
        <v>76.569678407350693</v>
      </c>
    </row>
    <row r="832" spans="1:1" x14ac:dyDescent="0.25">
      <c r="A832">
        <f>(1000/'[1]Figure 1'!G832)</f>
        <v>80.840743734842363</v>
      </c>
    </row>
    <row r="833" spans="1:1" x14ac:dyDescent="0.25">
      <c r="A833">
        <f>(1000/'[1]Figure 1'!G833)</f>
        <v>84.817642069550473</v>
      </c>
    </row>
    <row r="834" spans="1:1" x14ac:dyDescent="0.25">
      <c r="A834">
        <f>(1000/'[1]Figure 1'!G834)</f>
        <v>82.57638315441784</v>
      </c>
    </row>
    <row r="835" spans="1:1" x14ac:dyDescent="0.25">
      <c r="A835">
        <f>(1000/'[1]Figure 1'!G835)</f>
        <v>86.655112651646448</v>
      </c>
    </row>
    <row r="836" spans="1:1" x14ac:dyDescent="0.25">
      <c r="A836">
        <f>(1000/'[1]Figure 1'!G836)</f>
        <v>84.459459459459467</v>
      </c>
    </row>
    <row r="837" spans="1:1" x14ac:dyDescent="0.25">
      <c r="A837">
        <f>(1000/'[1]Figure 1'!G837)</f>
        <v>88.652482269503551</v>
      </c>
    </row>
    <row r="838" spans="1:1" x14ac:dyDescent="0.25">
      <c r="A838">
        <f>(1000/'[1]Figure 1'!G838)</f>
        <v>90.66183136899366</v>
      </c>
    </row>
    <row r="839" spans="1:1" x14ac:dyDescent="0.25">
      <c r="A839">
        <f>(1000/'[1]Figure 1'!G839)</f>
        <v>92.850510677808728</v>
      </c>
    </row>
    <row r="840" spans="1:1" x14ac:dyDescent="0.25">
      <c r="A840">
        <f>(1000/'[1]Figure 1'!G840)</f>
        <v>95.147478591817318</v>
      </c>
    </row>
    <row r="841" spans="1:1" x14ac:dyDescent="0.25">
      <c r="A841">
        <f>(1000/'[1]Figure 1'!G841)</f>
        <v>97.465886939571149</v>
      </c>
    </row>
    <row r="842" spans="1:1" x14ac:dyDescent="0.25">
      <c r="A842">
        <f>(1000/'[1]Figure 1'!G842)</f>
        <v>74.515648286140092</v>
      </c>
    </row>
    <row r="843" spans="1:1" x14ac:dyDescent="0.25">
      <c r="A843">
        <f>(1000/'[1]Figure 1'!G843)</f>
        <v>76.39419404125286</v>
      </c>
    </row>
    <row r="844" spans="1:1" x14ac:dyDescent="0.25">
      <c r="A844">
        <f>(1000/'[1]Figure 1'!G844)</f>
        <v>78.431372549019613</v>
      </c>
    </row>
    <row r="845" spans="1:1" x14ac:dyDescent="0.25">
      <c r="A845">
        <f>(1000/'[1]Figure 1'!G845)</f>
        <v>84.317032040472185</v>
      </c>
    </row>
    <row r="846" spans="1:1" x14ac:dyDescent="0.25">
      <c r="A846">
        <f>(1000/'[1]Figure 1'!G846)</f>
        <v>84.317032040472185</v>
      </c>
    </row>
    <row r="847" spans="1:1" x14ac:dyDescent="0.25">
      <c r="A847">
        <f>(1000/'[1]Figure 1'!G847)</f>
        <v>92.936802973977692</v>
      </c>
    </row>
    <row r="848" spans="1:1" x14ac:dyDescent="0.25">
      <c r="A848">
        <f>(1000/'[1]Figure 1'!G848)</f>
        <v>83.752093802345058</v>
      </c>
    </row>
    <row r="849" spans="1:1" x14ac:dyDescent="0.25">
      <c r="A849">
        <f>(1000/'[1]Figure 1'!G849)</f>
        <v>86.655112651646448</v>
      </c>
    </row>
    <row r="850" spans="1:1" x14ac:dyDescent="0.25">
      <c r="A850">
        <f>(1000/'[1]Figure 1'!G850)</f>
        <v>86.655112651646448</v>
      </c>
    </row>
    <row r="851" spans="1:1" x14ac:dyDescent="0.25">
      <c r="A851">
        <f>(1000/'[1]Figure 1'!G851)</f>
        <v>95.510983763132757</v>
      </c>
    </row>
    <row r="852" spans="1:1" x14ac:dyDescent="0.25">
      <c r="A852">
        <f>(1000/'[1]Figure 1'!G852)</f>
        <v>86.132644272179164</v>
      </c>
    </row>
    <row r="853" spans="1:1" x14ac:dyDescent="0.25">
      <c r="A853">
        <f>(1000/'[1]Figure 1'!G853)</f>
        <v>86.132644272179164</v>
      </c>
    </row>
    <row r="854" spans="1:1" x14ac:dyDescent="0.25">
      <c r="A854">
        <f>(1000/'[1]Figure 1'!G854)</f>
        <v>89.126559714795007</v>
      </c>
    </row>
    <row r="855" spans="1:1" x14ac:dyDescent="0.25">
      <c r="A855">
        <f>(1000/'[1]Figure 1'!G855)</f>
        <v>89.126559714795007</v>
      </c>
    </row>
    <row r="856" spans="1:1" x14ac:dyDescent="0.25">
      <c r="A856">
        <f>(1000/'[1]Figure 1'!G856)</f>
        <v>88.57395925597875</v>
      </c>
    </row>
    <row r="857" spans="1:1" x14ac:dyDescent="0.25">
      <c r="A857">
        <f>(1000/'[1]Figure 1'!G857)</f>
        <v>88.57395925597875</v>
      </c>
    </row>
    <row r="858" spans="1:1" x14ac:dyDescent="0.25">
      <c r="A858">
        <f>(1000/'[1]Figure 1'!G858)</f>
        <v>91.743119266055047</v>
      </c>
    </row>
    <row r="859" spans="1:1" x14ac:dyDescent="0.25">
      <c r="A859">
        <f>(1000/'[1]Figure 1'!G859)</f>
        <v>91.157702825888776</v>
      </c>
    </row>
    <row r="860" spans="1:1" x14ac:dyDescent="0.25">
      <c r="A860">
        <f>(1000/'[1]Figure 1'!G860)</f>
        <v>91.157702825888776</v>
      </c>
    </row>
    <row r="861" spans="1:1" x14ac:dyDescent="0.25">
      <c r="A861">
        <f>(1000/'[1]Figure 1'!G861)</f>
        <v>94.517958412098295</v>
      </c>
    </row>
    <row r="862" spans="1:1" x14ac:dyDescent="0.25">
      <c r="A862">
        <f>(1000/'[1]Figure 1'!G862)</f>
        <v>93.896713615023472</v>
      </c>
    </row>
    <row r="863" spans="1:1" x14ac:dyDescent="0.25">
      <c r="A863">
        <f>(1000/'[1]Figure 1'!G863)</f>
        <v>97.465886939571149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e1f00f39-6041-45b0-b309-e0210d8b32af}" enabled="0" method="" siteId="{e1f00f39-6041-45b0-b309-e0210d8b32af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Nagarajan Somi Ganesan</dc:creator>
  <cp:lastModifiedBy>Nagarajan Somi Ganesan</cp:lastModifiedBy>
  <dcterms:created xsi:type="dcterms:W3CDTF">2015-06-05T18:17:20Z</dcterms:created>
  <dcterms:modified xsi:type="dcterms:W3CDTF">2026-06-29T06:28:28Z</dcterms:modified>
</cp:coreProperties>
</file>